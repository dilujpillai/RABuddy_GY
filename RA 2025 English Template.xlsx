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oodyearcorp.sharepoint.com/sites/MoldPlant/Shared Documents/EHS - Incident notification (NM, FA, OSHA)/Risk assessment  Lux Mold/Risk Assessment review 2025/"/>
    </mc:Choice>
  </mc:AlternateContent>
  <xr:revisionPtr revIDLastSave="4" documentId="8_{B356EBCD-2CE2-4A5B-8AA1-B9F55923E8FC}" xr6:coauthVersionLast="47" xr6:coauthVersionMax="47" xr10:uidLastSave="{D5679025-0A80-4992-A79A-202AC566893A}"/>
  <bookViews>
    <workbookView xWindow="-120" yWindow="-120" windowWidth="29040" windowHeight="15720" xr2:uid="{00000000-000D-0000-FFFF-FFFF00000000}"/>
  </bookViews>
  <sheets>
    <sheet name="4BLO (2)" sheetId="6" r:id="rId1"/>
    <sheet name="4BLO" sheetId="1" r:id="rId2"/>
    <sheet name="Lists" sheetId="4" r:id="rId3"/>
    <sheet name="Risk score and CML" sheetId="5" r:id="rId4"/>
  </sheets>
  <externalReferences>
    <externalReference r:id="rId5"/>
    <externalReference r:id="rId6"/>
  </externalReferences>
  <definedNames>
    <definedName name="_xlnm._FilterDatabase" localSheetId="2" hidden="1">Lists!$U$46:$U$68</definedName>
    <definedName name="Catégories_dangers">[1]Danger!$B$3:$B$16</definedName>
    <definedName name="HazardGroup" localSheetId="3">[2]Hazards!$D$5:$D$13</definedName>
    <definedName name="HazardGroup">Lists!#REF!</definedName>
    <definedName name="Machinery_hazards">Lists!$B$4:$B$39</definedName>
    <definedName name="ModelSurplus">"four thermique 2520,four thermique 2520,four thermique 2520"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7" i="6" l="1"/>
  <c r="M97" i="6"/>
  <c r="AD96" i="6"/>
  <c r="AC96" i="6"/>
  <c r="AB96" i="6"/>
  <c r="V96" i="6"/>
  <c r="U96" i="6"/>
  <c r="M96" i="6"/>
  <c r="AD95" i="6"/>
  <c r="AB95" i="6"/>
  <c r="U95" i="6"/>
  <c r="M95" i="6"/>
  <c r="AC95" i="6" s="1"/>
  <c r="AD94" i="6"/>
  <c r="AC94" i="6"/>
  <c r="AB94" i="6"/>
  <c r="V94" i="6"/>
  <c r="U94" i="6"/>
  <c r="M94" i="6"/>
  <c r="AD93" i="6"/>
  <c r="AB93" i="6"/>
  <c r="U93" i="6"/>
  <c r="M93" i="6"/>
  <c r="AC93" i="6" s="1"/>
  <c r="AD92" i="6"/>
  <c r="AC92" i="6"/>
  <c r="AB92" i="6"/>
  <c r="V92" i="6"/>
  <c r="U92" i="6"/>
  <c r="M92" i="6"/>
  <c r="AD91" i="6"/>
  <c r="AB91" i="6"/>
  <c r="U91" i="6"/>
  <c r="M91" i="6"/>
  <c r="AC91" i="6" s="1"/>
  <c r="AD90" i="6"/>
  <c r="AC90" i="6"/>
  <c r="AB90" i="6"/>
  <c r="V90" i="6"/>
  <c r="U90" i="6"/>
  <c r="M90" i="6"/>
  <c r="AD89" i="6"/>
  <c r="AB89" i="6"/>
  <c r="U89" i="6"/>
  <c r="M89" i="6"/>
  <c r="AC89" i="6" s="1"/>
  <c r="AD88" i="6"/>
  <c r="AC88" i="6"/>
  <c r="AB88" i="6"/>
  <c r="V88" i="6"/>
  <c r="U88" i="6"/>
  <c r="M88" i="6"/>
  <c r="AD87" i="6"/>
  <c r="AB87" i="6"/>
  <c r="U87" i="6"/>
  <c r="M87" i="6"/>
  <c r="AC87" i="6" s="1"/>
  <c r="AD86" i="6"/>
  <c r="AC86" i="6"/>
  <c r="AB86" i="6"/>
  <c r="V86" i="6"/>
  <c r="U86" i="6"/>
  <c r="M86" i="6"/>
  <c r="AD85" i="6"/>
  <c r="AB85" i="6"/>
  <c r="U85" i="6"/>
  <c r="M85" i="6"/>
  <c r="AC85" i="6" s="1"/>
  <c r="AD84" i="6"/>
  <c r="AC84" i="6"/>
  <c r="AB84" i="6"/>
  <c r="V84" i="6"/>
  <c r="U84" i="6"/>
  <c r="M84" i="6"/>
  <c r="AD83" i="6"/>
  <c r="AB83" i="6"/>
  <c r="U83" i="6"/>
  <c r="M83" i="6"/>
  <c r="AC83" i="6" s="1"/>
  <c r="AD82" i="6"/>
  <c r="AC82" i="6"/>
  <c r="AB82" i="6"/>
  <c r="V82" i="6"/>
  <c r="U82" i="6"/>
  <c r="M82" i="6"/>
  <c r="AD81" i="6"/>
  <c r="AB81" i="6"/>
  <c r="U81" i="6"/>
  <c r="M81" i="6"/>
  <c r="AC81" i="6" s="1"/>
  <c r="AD80" i="6"/>
  <c r="AC80" i="6"/>
  <c r="AB80" i="6"/>
  <c r="V80" i="6"/>
  <c r="U80" i="6"/>
  <c r="M80" i="6"/>
  <c r="AD79" i="6"/>
  <c r="AB79" i="6"/>
  <c r="U79" i="6"/>
  <c r="M79" i="6"/>
  <c r="AC79" i="6" s="1"/>
  <c r="AD78" i="6"/>
  <c r="AC78" i="6"/>
  <c r="AB78" i="6"/>
  <c r="V78" i="6"/>
  <c r="U78" i="6"/>
  <c r="M78" i="6"/>
  <c r="AD77" i="6"/>
  <c r="AB77" i="6"/>
  <c r="U77" i="6"/>
  <c r="M77" i="6"/>
  <c r="AC77" i="6" s="1"/>
  <c r="AD76" i="6"/>
  <c r="AC76" i="6"/>
  <c r="AB76" i="6"/>
  <c r="V76" i="6"/>
  <c r="U76" i="6"/>
  <c r="M76" i="6"/>
  <c r="AD75" i="6"/>
  <c r="AB75" i="6"/>
  <c r="U75" i="6"/>
  <c r="M75" i="6"/>
  <c r="AC75" i="6" s="1"/>
  <c r="AD74" i="6"/>
  <c r="AC74" i="6"/>
  <c r="AB74" i="6"/>
  <c r="V74" i="6"/>
  <c r="U74" i="6"/>
  <c r="M74" i="6"/>
  <c r="AD73" i="6"/>
  <c r="AB73" i="6"/>
  <c r="U73" i="6"/>
  <c r="M73" i="6"/>
  <c r="AC73" i="6" s="1"/>
  <c r="AD72" i="6"/>
  <c r="AC72" i="6"/>
  <c r="AB72" i="6"/>
  <c r="V72" i="6"/>
  <c r="U72" i="6"/>
  <c r="M72" i="6"/>
  <c r="AD71" i="6"/>
  <c r="AB71" i="6"/>
  <c r="U71" i="6"/>
  <c r="M71" i="6"/>
  <c r="AC71" i="6" s="1"/>
  <c r="AD70" i="6"/>
  <c r="AC70" i="6"/>
  <c r="AB70" i="6"/>
  <c r="V70" i="6"/>
  <c r="U70" i="6"/>
  <c r="M70" i="6"/>
  <c r="AD69" i="6"/>
  <c r="AB69" i="6"/>
  <c r="U69" i="6"/>
  <c r="M69" i="6"/>
  <c r="AC69" i="6" s="1"/>
  <c r="AD68" i="6"/>
  <c r="AC68" i="6"/>
  <c r="AB68" i="6"/>
  <c r="V68" i="6"/>
  <c r="U68" i="6"/>
  <c r="M68" i="6"/>
  <c r="AD67" i="6"/>
  <c r="AB67" i="6"/>
  <c r="U67" i="6"/>
  <c r="M67" i="6"/>
  <c r="AC67" i="6" s="1"/>
  <c r="AD66" i="6"/>
  <c r="AC66" i="6"/>
  <c r="AB66" i="6"/>
  <c r="V66" i="6"/>
  <c r="U66" i="6"/>
  <c r="M66" i="6"/>
  <c r="AD65" i="6"/>
  <c r="AB65" i="6"/>
  <c r="U65" i="6"/>
  <c r="M65" i="6"/>
  <c r="AC65" i="6" s="1"/>
  <c r="AD64" i="6"/>
  <c r="AC64" i="6"/>
  <c r="AB64" i="6"/>
  <c r="V64" i="6"/>
  <c r="U64" i="6"/>
  <c r="M64" i="6"/>
  <c r="AD63" i="6"/>
  <c r="AB63" i="6"/>
  <c r="U63" i="6"/>
  <c r="M63" i="6"/>
  <c r="AC63" i="6" s="1"/>
  <c r="AD62" i="6"/>
  <c r="AC62" i="6"/>
  <c r="AB62" i="6"/>
  <c r="V62" i="6"/>
  <c r="U62" i="6"/>
  <c r="M62" i="6"/>
  <c r="AD61" i="6"/>
  <c r="AB61" i="6"/>
  <c r="U61" i="6"/>
  <c r="M61" i="6"/>
  <c r="AC61" i="6" s="1"/>
  <c r="AD60" i="6"/>
  <c r="AC60" i="6"/>
  <c r="AB60" i="6"/>
  <c r="V60" i="6"/>
  <c r="U60" i="6"/>
  <c r="M60" i="6"/>
  <c r="AD59" i="6"/>
  <c r="AB59" i="6"/>
  <c r="U59" i="6"/>
  <c r="M59" i="6"/>
  <c r="AC59" i="6" s="1"/>
  <c r="AD58" i="6"/>
  <c r="AC58" i="6"/>
  <c r="AB58" i="6"/>
  <c r="V58" i="6"/>
  <c r="U58" i="6"/>
  <c r="M58" i="6"/>
  <c r="AD57" i="6"/>
  <c r="AB57" i="6"/>
  <c r="U57" i="6"/>
  <c r="M57" i="6"/>
  <c r="AC57" i="6" s="1"/>
  <c r="AD56" i="6"/>
  <c r="AC56" i="6"/>
  <c r="AB56" i="6"/>
  <c r="V56" i="6"/>
  <c r="U56" i="6"/>
  <c r="M56" i="6"/>
  <c r="AD55" i="6"/>
  <c r="AB55" i="6"/>
  <c r="U55" i="6"/>
  <c r="M55" i="6"/>
  <c r="AC55" i="6" s="1"/>
  <c r="AD54" i="6"/>
  <c r="AC54" i="6"/>
  <c r="AB54" i="6"/>
  <c r="V54" i="6"/>
  <c r="U54" i="6"/>
  <c r="M54" i="6"/>
  <c r="AD53" i="6"/>
  <c r="AB53" i="6"/>
  <c r="U53" i="6"/>
  <c r="M53" i="6"/>
  <c r="AC53" i="6" s="1"/>
  <c r="AD52" i="6"/>
  <c r="AC52" i="6"/>
  <c r="AB52" i="6"/>
  <c r="V52" i="6"/>
  <c r="U52" i="6"/>
  <c r="M52" i="6"/>
  <c r="AD51" i="6"/>
  <c r="AB51" i="6"/>
  <c r="U51" i="6"/>
  <c r="M51" i="6"/>
  <c r="AC51" i="6" s="1"/>
  <c r="AD50" i="6"/>
  <c r="AC50" i="6"/>
  <c r="AB50" i="6"/>
  <c r="V50" i="6"/>
  <c r="U50" i="6"/>
  <c r="M50" i="6"/>
  <c r="AD49" i="6"/>
  <c r="AB49" i="6"/>
  <c r="U49" i="6"/>
  <c r="M49" i="6"/>
  <c r="AC49" i="6" s="1"/>
  <c r="AD48" i="6"/>
  <c r="AC48" i="6"/>
  <c r="AB48" i="6"/>
  <c r="V48" i="6"/>
  <c r="U48" i="6"/>
  <c r="M48" i="6"/>
  <c r="AD47" i="6"/>
  <c r="AB47" i="6"/>
  <c r="U47" i="6"/>
  <c r="M47" i="6"/>
  <c r="AC47" i="6" s="1"/>
  <c r="AD46" i="6"/>
  <c r="AC46" i="6"/>
  <c r="AB46" i="6"/>
  <c r="V46" i="6"/>
  <c r="U46" i="6"/>
  <c r="M46" i="6"/>
  <c r="AD45" i="6"/>
  <c r="AB45" i="6"/>
  <c r="U45" i="6"/>
  <c r="M45" i="6"/>
  <c r="AC45" i="6" s="1"/>
  <c r="AD44" i="6"/>
  <c r="AC44" i="6"/>
  <c r="AB44" i="6"/>
  <c r="V44" i="6"/>
  <c r="U44" i="6"/>
  <c r="M44" i="6"/>
  <c r="AD43" i="6"/>
  <c r="AB43" i="6"/>
  <c r="U43" i="6"/>
  <c r="M43" i="6"/>
  <c r="AC43" i="6" s="1"/>
  <c r="AD42" i="6"/>
  <c r="AC42" i="6"/>
  <c r="AB42" i="6"/>
  <c r="V42" i="6"/>
  <c r="U42" i="6"/>
  <c r="M42" i="6"/>
  <c r="AD41" i="6"/>
  <c r="AB41" i="6"/>
  <c r="U41" i="6"/>
  <c r="M41" i="6"/>
  <c r="AC41" i="6" s="1"/>
  <c r="M40" i="6"/>
  <c r="M39" i="6"/>
  <c r="M38" i="6"/>
  <c r="M37" i="6"/>
  <c r="M36" i="6"/>
  <c r="M35" i="6"/>
  <c r="M34" i="6"/>
  <c r="M33" i="6"/>
  <c r="M32" i="6"/>
  <c r="M31" i="6"/>
  <c r="M30" i="6"/>
  <c r="M29" i="6"/>
  <c r="AD28" i="6"/>
  <c r="AC28" i="6"/>
  <c r="AB28" i="6"/>
  <c r="V28" i="6"/>
  <c r="U28" i="6"/>
  <c r="M28" i="6"/>
  <c r="AD27" i="6"/>
  <c r="AB27" i="6"/>
  <c r="U27" i="6"/>
  <c r="M27" i="6"/>
  <c r="AC27" i="6" s="1"/>
  <c r="AD26" i="6"/>
  <c r="AC26" i="6"/>
  <c r="AB26" i="6"/>
  <c r="V26" i="6"/>
  <c r="U26" i="6"/>
  <c r="M26" i="6"/>
  <c r="AD25" i="6"/>
  <c r="AB25" i="6"/>
  <c r="U25" i="6"/>
  <c r="M25" i="6"/>
  <c r="AC25" i="6" s="1"/>
  <c r="AD24" i="6"/>
  <c r="AC24" i="6"/>
  <c r="AB24" i="6"/>
  <c r="V24" i="6"/>
  <c r="U24" i="6"/>
  <c r="M24" i="6"/>
  <c r="AD23" i="6"/>
  <c r="AB23" i="6"/>
  <c r="U23" i="6"/>
  <c r="M23" i="6"/>
  <c r="AC23" i="6" s="1"/>
  <c r="AD22" i="6"/>
  <c r="AC22" i="6"/>
  <c r="AB22" i="6"/>
  <c r="V22" i="6"/>
  <c r="U22" i="6"/>
  <c r="M22" i="6"/>
  <c r="AD21" i="6"/>
  <c r="AB21" i="6"/>
  <c r="U21" i="6"/>
  <c r="M21" i="6"/>
  <c r="AC21" i="6" s="1"/>
  <c r="AD20" i="6"/>
  <c r="AC20" i="6"/>
  <c r="AB20" i="6"/>
  <c r="V20" i="6"/>
  <c r="U20" i="6"/>
  <c r="M20" i="6"/>
  <c r="AD19" i="6"/>
  <c r="AB19" i="6"/>
  <c r="U19" i="6"/>
  <c r="M19" i="6"/>
  <c r="AC19" i="6" s="1"/>
  <c r="M18" i="6"/>
  <c r="AD17" i="6"/>
  <c r="AC17" i="6"/>
  <c r="AB17" i="6"/>
  <c r="U17" i="6"/>
  <c r="M17" i="6"/>
  <c r="V17" i="6" s="1"/>
  <c r="AD16" i="6"/>
  <c r="AD97" i="6" s="1"/>
  <c r="AB16" i="6"/>
  <c r="U16" i="6"/>
  <c r="U97" i="6" s="1"/>
  <c r="M16" i="6"/>
  <c r="AC16" i="6" s="1"/>
  <c r="F11" i="6"/>
  <c r="F10" i="6"/>
  <c r="F8" i="6" s="1"/>
  <c r="F9" i="6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F6" i="6" l="1"/>
  <c r="F4" i="6"/>
  <c r="AC97" i="6"/>
  <c r="F5" i="6"/>
  <c r="F3" i="6"/>
  <c r="F2" i="6"/>
  <c r="F7" i="6"/>
  <c r="V19" i="6"/>
  <c r="V21" i="6"/>
  <c r="V23" i="6"/>
  <c r="V27" i="6"/>
  <c r="V41" i="6"/>
  <c r="V43" i="6"/>
  <c r="V47" i="6"/>
  <c r="V51" i="6"/>
  <c r="V55" i="6"/>
  <c r="V59" i="6"/>
  <c r="V65" i="6"/>
  <c r="V69" i="6"/>
  <c r="V71" i="6"/>
  <c r="V75" i="6"/>
  <c r="V77" i="6"/>
  <c r="V81" i="6"/>
  <c r="V85" i="6"/>
  <c r="V89" i="6"/>
  <c r="V95" i="6"/>
  <c r="V16" i="6"/>
  <c r="V97" i="6" s="1"/>
  <c r="V45" i="6"/>
  <c r="V49" i="6"/>
  <c r="V57" i="6"/>
  <c r="V63" i="6"/>
  <c r="V67" i="6"/>
  <c r="V73" i="6"/>
  <c r="V79" i="6"/>
  <c r="V83" i="6"/>
  <c r="V87" i="6"/>
  <c r="V91" i="6"/>
  <c r="V93" i="6"/>
  <c r="V61" i="6"/>
  <c r="V25" i="6"/>
  <c r="V53" i="6"/>
  <c r="AC48" i="1"/>
  <c r="M53" i="1"/>
  <c r="M54" i="1"/>
  <c r="M55" i="1"/>
  <c r="M56" i="1"/>
  <c r="AC56" i="1" s="1"/>
  <c r="M57" i="1"/>
  <c r="M58" i="1"/>
  <c r="M59" i="1"/>
  <c r="M60" i="1"/>
  <c r="M61" i="1"/>
  <c r="M62" i="1"/>
  <c r="AC62" i="1" s="1"/>
  <c r="M63" i="1"/>
  <c r="M64" i="1"/>
  <c r="AC64" i="1" s="1"/>
  <c r="M65" i="1"/>
  <c r="M66" i="1"/>
  <c r="AC66" i="1" s="1"/>
  <c r="M67" i="1"/>
  <c r="AC67" i="1" s="1"/>
  <c r="M68" i="1"/>
  <c r="AC68" i="1" s="1"/>
  <c r="M69" i="1"/>
  <c r="M70" i="1"/>
  <c r="M71" i="1"/>
  <c r="M72" i="1"/>
  <c r="AC72" i="1" s="1"/>
  <c r="M73" i="1"/>
  <c r="M74" i="1"/>
  <c r="AC74" i="1" s="1"/>
  <c r="M75" i="1"/>
  <c r="AC75" i="1" s="1"/>
  <c r="M91" i="1"/>
  <c r="AC91" i="1" s="1"/>
  <c r="U91" i="1"/>
  <c r="AB91" i="1"/>
  <c r="AD91" i="1"/>
  <c r="M92" i="1"/>
  <c r="AC92" i="1" s="1"/>
  <c r="U92" i="1"/>
  <c r="AB92" i="1"/>
  <c r="AD92" i="1"/>
  <c r="U46" i="1"/>
  <c r="AB46" i="1"/>
  <c r="AD46" i="1"/>
  <c r="U47" i="1"/>
  <c r="AB47" i="1"/>
  <c r="AD47" i="1"/>
  <c r="U48" i="1"/>
  <c r="AB48" i="1"/>
  <c r="AD48" i="1"/>
  <c r="U49" i="1"/>
  <c r="AB49" i="1"/>
  <c r="AD49" i="1"/>
  <c r="U50" i="1"/>
  <c r="AB50" i="1"/>
  <c r="AD50" i="1"/>
  <c r="U51" i="1"/>
  <c r="AB51" i="1"/>
  <c r="AD51" i="1"/>
  <c r="AC52" i="1"/>
  <c r="U52" i="1"/>
  <c r="AB52" i="1"/>
  <c r="AD52" i="1"/>
  <c r="AC53" i="1"/>
  <c r="U53" i="1"/>
  <c r="AB53" i="1"/>
  <c r="AD53" i="1"/>
  <c r="U54" i="1"/>
  <c r="AB54" i="1"/>
  <c r="AD54" i="1"/>
  <c r="U55" i="1"/>
  <c r="AB55" i="1"/>
  <c r="AD55" i="1"/>
  <c r="U56" i="1"/>
  <c r="AB56" i="1"/>
  <c r="AD56" i="1"/>
  <c r="U57" i="1"/>
  <c r="AB57" i="1"/>
  <c r="AD57" i="1"/>
  <c r="U58" i="1"/>
  <c r="AB58" i="1"/>
  <c r="AD58" i="1"/>
  <c r="U59" i="1"/>
  <c r="AB59" i="1"/>
  <c r="AD59" i="1"/>
  <c r="U60" i="1"/>
  <c r="AB60" i="1"/>
  <c r="AD60" i="1"/>
  <c r="U61" i="1"/>
  <c r="AB61" i="1"/>
  <c r="AD61" i="1"/>
  <c r="U62" i="1"/>
  <c r="AB62" i="1"/>
  <c r="AD62" i="1"/>
  <c r="U63" i="1"/>
  <c r="AB63" i="1"/>
  <c r="AD63" i="1"/>
  <c r="U64" i="1"/>
  <c r="AB64" i="1"/>
  <c r="AD64" i="1"/>
  <c r="U65" i="1"/>
  <c r="AB65" i="1"/>
  <c r="AD65" i="1"/>
  <c r="U66" i="1"/>
  <c r="AB66" i="1"/>
  <c r="AD66" i="1"/>
  <c r="U67" i="1"/>
  <c r="AB67" i="1"/>
  <c r="AD67" i="1"/>
  <c r="U68" i="1"/>
  <c r="AB68" i="1"/>
  <c r="AD68" i="1"/>
  <c r="U69" i="1"/>
  <c r="AB69" i="1"/>
  <c r="AD69" i="1"/>
  <c r="U70" i="1"/>
  <c r="AB70" i="1"/>
  <c r="AD70" i="1"/>
  <c r="U71" i="1"/>
  <c r="AB71" i="1"/>
  <c r="AD71" i="1"/>
  <c r="U72" i="1"/>
  <c r="AB72" i="1"/>
  <c r="AD72" i="1"/>
  <c r="U73" i="1"/>
  <c r="AB73" i="1"/>
  <c r="AD73" i="1"/>
  <c r="U74" i="1"/>
  <c r="AB74" i="1"/>
  <c r="AD74" i="1"/>
  <c r="U75" i="1"/>
  <c r="AB75" i="1"/>
  <c r="AD75" i="1"/>
  <c r="M76" i="1"/>
  <c r="AC76" i="1" s="1"/>
  <c r="U76" i="1"/>
  <c r="AB76" i="1"/>
  <c r="AD76" i="1"/>
  <c r="M77" i="1"/>
  <c r="U77" i="1"/>
  <c r="AB77" i="1"/>
  <c r="AD77" i="1"/>
  <c r="M78" i="1"/>
  <c r="U78" i="1"/>
  <c r="AB78" i="1"/>
  <c r="AD78" i="1"/>
  <c r="M79" i="1"/>
  <c r="AC79" i="1" s="1"/>
  <c r="U79" i="1"/>
  <c r="AB79" i="1"/>
  <c r="AD79" i="1"/>
  <c r="M80" i="1"/>
  <c r="AC80" i="1" s="1"/>
  <c r="U80" i="1"/>
  <c r="AB80" i="1"/>
  <c r="AD80" i="1"/>
  <c r="M81" i="1"/>
  <c r="U81" i="1"/>
  <c r="AB81" i="1"/>
  <c r="AD81" i="1"/>
  <c r="M82" i="1"/>
  <c r="AC82" i="1" s="1"/>
  <c r="U82" i="1"/>
  <c r="AB82" i="1"/>
  <c r="AD82" i="1"/>
  <c r="M83" i="1"/>
  <c r="AC83" i="1" s="1"/>
  <c r="U83" i="1"/>
  <c r="AB83" i="1"/>
  <c r="AD83" i="1"/>
  <c r="M84" i="1"/>
  <c r="U84" i="1"/>
  <c r="AB84" i="1"/>
  <c r="AD84" i="1"/>
  <c r="M85" i="1"/>
  <c r="AC85" i="1" s="1"/>
  <c r="U85" i="1"/>
  <c r="AB85" i="1"/>
  <c r="AD85" i="1"/>
  <c r="M86" i="1"/>
  <c r="U86" i="1"/>
  <c r="AB86" i="1"/>
  <c r="AD86" i="1"/>
  <c r="M87" i="1"/>
  <c r="U87" i="1"/>
  <c r="AB87" i="1"/>
  <c r="AD87" i="1"/>
  <c r="M88" i="1"/>
  <c r="U88" i="1"/>
  <c r="AB88" i="1"/>
  <c r="AD88" i="1"/>
  <c r="U19" i="1"/>
  <c r="V91" i="1" l="1"/>
  <c r="V92" i="1"/>
  <c r="V56" i="1"/>
  <c r="V48" i="1"/>
  <c r="V70" i="1"/>
  <c r="V60" i="1"/>
  <c r="V78" i="1"/>
  <c r="V50" i="1"/>
  <c r="V55" i="1"/>
  <c r="V51" i="1"/>
  <c r="V71" i="1"/>
  <c r="V46" i="1"/>
  <c r="AC50" i="1"/>
  <c r="V54" i="1"/>
  <c r="AC46" i="1"/>
  <c r="V57" i="1"/>
  <c r="V52" i="1"/>
  <c r="V49" i="1"/>
  <c r="V47" i="1"/>
  <c r="AC54" i="1"/>
  <c r="V53" i="1"/>
  <c r="AC57" i="1"/>
  <c r="AC49" i="1"/>
  <c r="V59" i="1"/>
  <c r="AC55" i="1"/>
  <c r="AC51" i="1"/>
  <c r="AC47" i="1"/>
  <c r="V58" i="1"/>
  <c r="V74" i="1"/>
  <c r="AC58" i="1"/>
  <c r="V64" i="1"/>
  <c r="V77" i="1"/>
  <c r="AC78" i="1"/>
  <c r="AC59" i="1"/>
  <c r="V80" i="1"/>
  <c r="V62" i="1"/>
  <c r="V76" i="1"/>
  <c r="V73" i="1"/>
  <c r="V63" i="1"/>
  <c r="V83" i="1"/>
  <c r="V82" i="1"/>
  <c r="V72" i="1"/>
  <c r="AC70" i="1"/>
  <c r="V69" i="1"/>
  <c r="AC60" i="1"/>
  <c r="V75" i="1"/>
  <c r="V67" i="1"/>
  <c r="AC63" i="1"/>
  <c r="AC71" i="1"/>
  <c r="V65" i="1"/>
  <c r="V61" i="1"/>
  <c r="V68" i="1"/>
  <c r="V79" i="1"/>
  <c r="V81" i="1"/>
  <c r="V66" i="1"/>
  <c r="AC81" i="1"/>
  <c r="AC77" i="1"/>
  <c r="AC73" i="1"/>
  <c r="AC69" i="1"/>
  <c r="AC65" i="1"/>
  <c r="AC61" i="1"/>
  <c r="V84" i="1"/>
  <c r="V87" i="1"/>
  <c r="V85" i="1"/>
  <c r="AC84" i="1"/>
  <c r="V86" i="1"/>
  <c r="AC86" i="1"/>
  <c r="V88" i="1"/>
  <c r="AC87" i="1"/>
  <c r="AC88" i="1"/>
  <c r="U21" i="1"/>
  <c r="AB21" i="1"/>
  <c r="AD21" i="1"/>
  <c r="AC22" i="1"/>
  <c r="U22" i="1"/>
  <c r="AB22" i="1"/>
  <c r="AD22" i="1"/>
  <c r="U23" i="1"/>
  <c r="AB23" i="1"/>
  <c r="AD23" i="1"/>
  <c r="AC24" i="1"/>
  <c r="U24" i="1"/>
  <c r="AB24" i="1"/>
  <c r="AD24" i="1"/>
  <c r="U25" i="1"/>
  <c r="AB25" i="1"/>
  <c r="AD25" i="1"/>
  <c r="U26" i="1"/>
  <c r="AB26" i="1"/>
  <c r="AD26" i="1"/>
  <c r="U27" i="1"/>
  <c r="AB27" i="1"/>
  <c r="AD27" i="1"/>
  <c r="AC28" i="1"/>
  <c r="U28" i="1"/>
  <c r="AB28" i="1"/>
  <c r="AD28" i="1"/>
  <c r="U41" i="1"/>
  <c r="AB41" i="1"/>
  <c r="AD41" i="1"/>
  <c r="U42" i="1"/>
  <c r="AB42" i="1"/>
  <c r="AD42" i="1"/>
  <c r="U43" i="1"/>
  <c r="AB43" i="1"/>
  <c r="AD43" i="1"/>
  <c r="U44" i="1"/>
  <c r="AB44" i="1"/>
  <c r="AD44" i="1"/>
  <c r="U45" i="1"/>
  <c r="AB45" i="1"/>
  <c r="AD45" i="1"/>
  <c r="M89" i="1"/>
  <c r="AC89" i="1" s="1"/>
  <c r="U89" i="1"/>
  <c r="AB89" i="1"/>
  <c r="AD89" i="1"/>
  <c r="M90" i="1"/>
  <c r="U90" i="1"/>
  <c r="AB90" i="1"/>
  <c r="AD90" i="1"/>
  <c r="V21" i="1" l="1"/>
  <c r="V22" i="1"/>
  <c r="V23" i="1"/>
  <c r="AC21" i="1"/>
  <c r="AC23" i="1"/>
  <c r="V26" i="1"/>
  <c r="V24" i="1"/>
  <c r="V27" i="1"/>
  <c r="V25" i="1"/>
  <c r="AC26" i="1"/>
  <c r="AC25" i="1"/>
  <c r="V28" i="1"/>
  <c r="AC27" i="1"/>
  <c r="V41" i="1"/>
  <c r="V42" i="1"/>
  <c r="V43" i="1"/>
  <c r="AC41" i="1"/>
  <c r="AC42" i="1"/>
  <c r="V44" i="1"/>
  <c r="V45" i="1"/>
  <c r="AC43" i="1"/>
  <c r="AC44" i="1"/>
  <c r="AC45" i="1"/>
  <c r="V89" i="1"/>
  <c r="V90" i="1"/>
  <c r="AC90" i="1"/>
  <c r="AC17" i="1" l="1"/>
  <c r="U17" i="1"/>
  <c r="AB17" i="1"/>
  <c r="AD17" i="1"/>
  <c r="AC19" i="1"/>
  <c r="AB19" i="1"/>
  <c r="AD19" i="1"/>
  <c r="U20" i="1"/>
  <c r="AB20" i="1"/>
  <c r="AD20" i="1"/>
  <c r="V17" i="1" l="1"/>
  <c r="V20" i="1"/>
  <c r="V19" i="1"/>
  <c r="AC20" i="1"/>
  <c r="U16" i="1" l="1"/>
  <c r="AB16" i="1"/>
  <c r="AD16" i="1"/>
  <c r="V16" i="1" l="1"/>
  <c r="AC16" i="1"/>
  <c r="AB93" i="1"/>
  <c r="AB94" i="1"/>
  <c r="AB95" i="1"/>
  <c r="AB96" i="1"/>
  <c r="F9" i="1"/>
  <c r="AD94" i="1"/>
  <c r="AD95" i="1"/>
  <c r="AD96" i="1"/>
  <c r="F11" i="1" l="1"/>
  <c r="M94" i="1"/>
  <c r="U94" i="1"/>
  <c r="M95" i="1"/>
  <c r="U95" i="1"/>
  <c r="AC95" i="1" l="1"/>
  <c r="V95" i="1"/>
  <c r="AC94" i="1"/>
  <c r="V94" i="1"/>
  <c r="Z97" i="1"/>
  <c r="U96" i="1"/>
  <c r="M96" i="1"/>
  <c r="AD93" i="1"/>
  <c r="U93" i="1"/>
  <c r="M93" i="1"/>
  <c r="AD97" i="1" l="1"/>
  <c r="AC96" i="1"/>
  <c r="V96" i="1"/>
  <c r="AC93" i="1"/>
  <c r="V93" i="1"/>
  <c r="F7" i="1"/>
  <c r="F10" i="1"/>
  <c r="F8" i="1" s="1"/>
  <c r="U97" i="1"/>
  <c r="M97" i="1"/>
  <c r="AC97" i="1" l="1"/>
  <c r="V97" i="1"/>
  <c r="F4" i="1"/>
  <c r="F2" i="1"/>
  <c r="F5" i="1"/>
  <c r="F3" i="1"/>
  <c r="F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Arnaud Queyron</author>
  </authors>
  <commentList>
    <comment ref="J15" authorId="0" shapeId="0" xr:uid="{0944A975-3DEE-4B9F-B5FE-AD65A1D73D7A}">
      <text>
        <r>
          <rPr>
            <b/>
            <sz val="9"/>
            <color indexed="81"/>
            <rFont val="Tahoma"/>
            <family val="2"/>
          </rPr>
          <t>Arnaud Queyron: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" authorId="0" shapeId="0" xr:uid="{85034410-2253-47DE-9BCF-08E1D4B7FECA}">
      <text>
        <r>
          <rPr>
            <b/>
            <sz val="9"/>
            <color indexed="81"/>
            <rFont val="Tahoma"/>
            <family val="2"/>
          </rPr>
          <t>Arnaud Queyron: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5" authorId="0" shapeId="0" xr:uid="{C748D8B1-0FB1-418C-8B4F-F11C6C1AECF7}">
      <text>
        <r>
          <rPr>
            <b/>
            <sz val="9"/>
            <color indexed="81"/>
            <rFont val="Tahoma"/>
            <family val="2"/>
          </rPr>
          <t>Arnaud Queyron: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5" authorId="0" shapeId="0" xr:uid="{1D6B9172-C0B7-42F3-B88D-D50F35E76AC7}">
      <text>
        <r>
          <rPr>
            <b/>
            <sz val="9"/>
            <color indexed="81"/>
            <rFont val="Tahoma"/>
            <family val="2"/>
          </rPr>
          <t>Arnaud Queyron: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5" authorId="0" shapeId="0" xr:uid="{D9BAE518-0B81-4389-A197-08184A2F9C2D}">
      <text>
        <r>
          <rPr>
            <b/>
            <sz val="9"/>
            <color indexed="81"/>
            <rFont val="Tahoma"/>
            <family val="2"/>
          </rPr>
          <t>Arnaud Queyron: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5" authorId="0" shapeId="0" xr:uid="{0449F719-C5C0-4B56-A199-AD8545F23ED5}">
      <text>
        <r>
          <rPr>
            <b/>
            <sz val="9"/>
            <color indexed="81"/>
            <rFont val="Tahoma"/>
            <family val="2"/>
          </rPr>
          <t>Arnaud Queyron: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5" authorId="0" shapeId="0" xr:uid="{5E3EAD0E-E4F8-4AE1-9404-4F3481E21919}">
      <text>
        <r>
          <rPr>
            <b/>
            <sz val="9"/>
            <color indexed="81"/>
            <rFont val="Tahoma"/>
            <family val="2"/>
          </rPr>
          <t>Arnaud Queyron: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Arnaud Queyron</author>
  </authors>
  <commentList>
    <comment ref="J15" authorId="0" shapeId="0" xr:uid="{7B1496E5-67CC-430C-8CDC-42E27101A1F5}">
      <text>
        <r>
          <rPr>
            <b/>
            <sz val="9"/>
            <color indexed="81"/>
            <rFont val="Tahoma"/>
            <family val="2"/>
          </rPr>
          <t>Arnaud Queyron: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" authorId="0" shapeId="0" xr:uid="{2A79376E-D401-4E66-8294-8569DCC1E8F4}">
      <text>
        <r>
          <rPr>
            <b/>
            <sz val="9"/>
            <color indexed="81"/>
            <rFont val="Tahoma"/>
            <family val="2"/>
          </rPr>
          <t>Arnaud Queyron: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5" authorId="0" shapeId="0" xr:uid="{0BDE8DB7-2689-465B-BD96-0E42BD059CA2}">
      <text>
        <r>
          <rPr>
            <b/>
            <sz val="9"/>
            <color indexed="81"/>
            <rFont val="Tahoma"/>
            <family val="2"/>
          </rPr>
          <t>Arnaud Queyron: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5" authorId="0" shapeId="0" xr:uid="{BEE17B89-01B8-4B7E-AB57-281180D24120}">
      <text>
        <r>
          <rPr>
            <b/>
            <sz val="9"/>
            <color indexed="81"/>
            <rFont val="Tahoma"/>
            <family val="2"/>
          </rPr>
          <t>Arnaud Queyron: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5" authorId="0" shapeId="0" xr:uid="{F7CF754E-51C4-4814-BC5C-486D67FA0E60}">
      <text>
        <r>
          <rPr>
            <b/>
            <sz val="9"/>
            <color indexed="81"/>
            <rFont val="Tahoma"/>
            <family val="2"/>
          </rPr>
          <t>Arnaud Queyron: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5" authorId="0" shapeId="0" xr:uid="{B58B9655-81E6-41F0-ADF5-2C117E6BF1AC}">
      <text>
        <r>
          <rPr>
            <b/>
            <sz val="9"/>
            <color indexed="81"/>
            <rFont val="Tahoma"/>
            <family val="2"/>
          </rPr>
          <t>Arnaud Queyron: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5" authorId="0" shapeId="0" xr:uid="{35C80991-00BF-4334-9244-20C51A424075}">
      <text>
        <r>
          <rPr>
            <b/>
            <sz val="9"/>
            <color indexed="81"/>
            <rFont val="Tahoma"/>
            <family val="2"/>
          </rPr>
          <t>Arnaud Queyron: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<sst xmlns="http://schemas.openxmlformats.org/spreadsheetml/2006/main" count="491" uniqueCount="425">
  <si>
    <t>Plant</t>
  </si>
  <si>
    <t xml:space="preserve">RA Number: </t>
  </si>
  <si>
    <t>Maximum Risk Score:</t>
  </si>
  <si>
    <t># of critical risks</t>
  </si>
  <si>
    <t>Maximum Severity Score:</t>
  </si>
  <si>
    <t># of high risks</t>
  </si>
  <si>
    <t>Work Station:</t>
  </si>
  <si>
    <t># of medium risks</t>
  </si>
  <si>
    <t>Overdue Actions:</t>
  </si>
  <si>
    <t>Work Station Number or Identification:</t>
  </si>
  <si>
    <t># of low risks</t>
  </si>
  <si>
    <t xml:space="preserve">Ongoing Actions: </t>
  </si>
  <si>
    <t xml:space="preserve">Job Description: </t>
  </si>
  <si>
    <t>Name(s) of JSA/Risk Analysis Team Members:</t>
  </si>
  <si>
    <t xml:space="preserve">Scope of risk assessment: </t>
  </si>
  <si>
    <t xml:space="preserve">Related Documents: </t>
  </si>
  <si>
    <t>CURRENT</t>
  </si>
  <si>
    <t>Task/Step No</t>
  </si>
  <si>
    <t>Job Step &amp; Task Description</t>
  </si>
  <si>
    <t>Hazard Group</t>
  </si>
  <si>
    <t>Hazard List</t>
  </si>
  <si>
    <t>Risk/Consequences (e.g. injury or illness that could occur as a result of hazard exposure)</t>
  </si>
  <si>
    <t>Hazard Source</t>
  </si>
  <si>
    <t>Routine/Non-Routine/ Emergency Situation</t>
  </si>
  <si>
    <t>Frequency</t>
  </si>
  <si>
    <t>Severity</t>
  </si>
  <si>
    <t>Likelihood</t>
  </si>
  <si>
    <t>Risk Score</t>
  </si>
  <si>
    <t xml:space="preserve">
Additional Control Measures to be implemented to reduce or eliminate risk
</t>
  </si>
  <si>
    <t>Control Hierarchy</t>
  </si>
  <si>
    <t>Responsible</t>
  </si>
  <si>
    <t>Frequency After Control Measures</t>
  </si>
  <si>
    <t>Severity After Control Measures</t>
  </si>
  <si>
    <t>Likelihood After Control Measures</t>
  </si>
  <si>
    <t>Risk Score2</t>
  </si>
  <si>
    <t>% Risk Reduction</t>
  </si>
  <si>
    <t>Photograph
(After)</t>
  </si>
  <si>
    <t>Verification  Date</t>
  </si>
  <si>
    <t>Verifier</t>
  </si>
  <si>
    <t>Related Regulation</t>
  </si>
  <si>
    <t>Action Closed</t>
  </si>
  <si>
    <t>Action status</t>
  </si>
  <si>
    <t>Current RISK</t>
  </si>
  <si>
    <t>Current SEVERITY</t>
  </si>
  <si>
    <t>Total</t>
  </si>
  <si>
    <t>GOODYEAR EHS STANDARDIZED HAZARD LIST FOR RISK ASSESSMENTS - FOR PLANT EHS REVIEW</t>
  </si>
  <si>
    <t>Chemical hazards</t>
  </si>
  <si>
    <t>Ergonomic hazards</t>
  </si>
  <si>
    <t>Confined spaces</t>
  </si>
  <si>
    <t>Asbestos</t>
  </si>
  <si>
    <t>Animal waste</t>
  </si>
  <si>
    <t>Food hygiene</t>
  </si>
  <si>
    <t>Inadequate guarding</t>
  </si>
  <si>
    <t>Crystalline silica</t>
  </si>
  <si>
    <t>Flammable materials</t>
  </si>
  <si>
    <t>Hydraulic</t>
  </si>
  <si>
    <t>Poor visibility</t>
  </si>
  <si>
    <t>Magnetic</t>
  </si>
  <si>
    <t>Nanomaterials</t>
  </si>
  <si>
    <t>Pneumatic</t>
  </si>
  <si>
    <t xml:space="preserve">Powered tools </t>
  </si>
  <si>
    <t>Organic peroxides</t>
  </si>
  <si>
    <t xml:space="preserve">Particulate material (dust, smoke, fog, aerosol)     </t>
  </si>
  <si>
    <t>Vacuum</t>
  </si>
  <si>
    <t>Violations of rules</t>
  </si>
  <si>
    <t>Water reactive substances</t>
  </si>
  <si>
    <t>Routine</t>
  </si>
  <si>
    <t>Frequncy</t>
  </si>
  <si>
    <t>Liklihood</t>
  </si>
  <si>
    <t>Control  Hierarchy</t>
  </si>
  <si>
    <t>Yes</t>
  </si>
  <si>
    <t>Non-Routine</t>
  </si>
  <si>
    <t>Emergency Situation</t>
  </si>
  <si>
    <t>Scenario and prediction</t>
  </si>
  <si>
    <t>Photograph
(optional)</t>
  </si>
  <si>
    <r>
      <t># People Exposed:</t>
    </r>
    <r>
      <rPr>
        <sz val="11"/>
        <color rgb="FFFEDA00"/>
        <rFont val="Arial"/>
        <family val="2"/>
      </rPr>
      <t xml:space="preserve"> </t>
    </r>
  </si>
  <si>
    <t xml:space="preserve">Department / Business center: </t>
  </si>
  <si>
    <t>Area / HPU:</t>
  </si>
  <si>
    <t>Actions to follow up</t>
  </si>
  <si>
    <t>Completed Actions</t>
  </si>
  <si>
    <t>Revision number</t>
  </si>
  <si>
    <t>Revision reason</t>
  </si>
  <si>
    <t>Revision date</t>
  </si>
  <si>
    <t>Creation</t>
  </si>
  <si>
    <t>Targeted Date</t>
  </si>
  <si>
    <r>
      <t xml:space="preserve">Pick the most </t>
    </r>
    <r>
      <rPr>
        <b/>
        <sz val="12"/>
        <color rgb="FFFEDA00"/>
        <rFont val="Calibri"/>
        <family val="2"/>
        <scheme val="minor"/>
      </rPr>
      <t>probable</t>
    </r>
  </si>
  <si>
    <t>Severity (S)</t>
  </si>
  <si>
    <t>No potential of injury</t>
  </si>
  <si>
    <t>Potential of 
FIRST AID</t>
  </si>
  <si>
    <t>Potential of 
MEDICAL TREATMENT</t>
  </si>
  <si>
    <t>Potential of 
DART</t>
  </si>
  <si>
    <t>Potential of
SIA</t>
  </si>
  <si>
    <t>Potential of 
Fatality</t>
  </si>
  <si>
    <t>Most probable injury</t>
  </si>
  <si>
    <t>- No treatment needed</t>
  </si>
  <si>
    <t>- Non-prescrition medication
- Bandage, cold therapy
- Cleaning and flushing wounds
- Non-rigid means of support
- osha.gov/recordkeeping/</t>
  </si>
  <si>
    <r>
      <t xml:space="preserve">- Prescritpion medications
- Wound closing devices
- Device with rigid support
- Removal of foreign objects from the eye </t>
    </r>
    <r>
      <rPr>
        <sz val="5"/>
        <rFont val="Arial"/>
        <family val="2"/>
      </rPr>
      <t>(beyond simple flushing)</t>
    </r>
  </si>
  <si>
    <t>- Temporary disability
- Temporary hospitalization</t>
  </si>
  <si>
    <t>- Amputation
- Disfigurement
- Loss of eyesight
- 3rd degree burns
- Life threatening/altering
- Long-term occupational disease</t>
  </si>
  <si>
    <t>- Death</t>
  </si>
  <si>
    <r>
      <t xml:space="preserve">Select the applicable and pick the most </t>
    </r>
    <r>
      <rPr>
        <b/>
        <sz val="12"/>
        <color rgb="FFFEDA00"/>
        <rFont val="Calibri"/>
        <family val="2"/>
        <scheme val="minor"/>
      </rPr>
      <t>restrictive</t>
    </r>
  </si>
  <si>
    <t>Likelihood (L)</t>
  </si>
  <si>
    <t>Almost impossible</t>
  </si>
  <si>
    <t>Very unlinkely</t>
  </si>
  <si>
    <t>Possible to happen</t>
  </si>
  <si>
    <t>Likely to happen</t>
  </si>
  <si>
    <t>Very likely to happen</t>
  </si>
  <si>
    <t>Machine related risks</t>
  </si>
  <si>
    <r>
      <t xml:space="preserve">Hazard reachable per ISO 13857/13849 </t>
    </r>
    <r>
      <rPr>
        <b/>
        <sz val="8"/>
        <rFont val="Arial"/>
        <family val="2"/>
      </rPr>
      <t>and if ALL</t>
    </r>
    <r>
      <rPr>
        <sz val="8"/>
        <rFont val="Arial"/>
        <family val="2"/>
      </rPr>
      <t xml:space="preserve"> the following apply :
- Skilled person
- Movement speed &lt;250mm/s 
- Obvious hazard 
- Room and time to escape
- Low complexity operation</t>
    </r>
  </si>
  <si>
    <r>
      <t xml:space="preserve">Hazard reachable per ISO 13857/13849 </t>
    </r>
    <r>
      <rPr>
        <b/>
        <sz val="8"/>
        <rFont val="Arial"/>
        <family val="2"/>
      </rPr>
      <t>and if ALL</t>
    </r>
    <r>
      <rPr>
        <sz val="8"/>
        <rFont val="Arial"/>
        <family val="2"/>
      </rPr>
      <t xml:space="preserve"> the following apply :
- Speed 251 to 1000mm/s
- Obvious hazard
- Room and time to escape</t>
    </r>
  </si>
  <si>
    <r>
      <t xml:space="preserve">Hazard reachable per ISO 13857/13849 with:
- Speed  &gt;1000mm/s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
- NO Room and time to escape</t>
    </r>
  </si>
  <si>
    <r>
      <t>Industrial Hygiene Risks</t>
    </r>
    <r>
      <rPr>
        <sz val="8"/>
        <rFont val="Arial"/>
        <family val="2"/>
      </rPr>
      <t xml:space="preserve"> 
(radiation, vibration, noise, chemical, bio hazards, thermal, …)</t>
    </r>
  </si>
  <si>
    <t>No Class 1</t>
  </si>
  <si>
    <t>Class 1 with CML 1, 2 and 3</t>
  </si>
  <si>
    <t>Class 1 with CML 1 and 3</t>
  </si>
  <si>
    <t>Class 1 with  CML 1 or higher</t>
  </si>
  <si>
    <t>Record of confirmed occupational disease</t>
  </si>
  <si>
    <t>Class 2/3 with CML 1, 2 and 3</t>
  </si>
  <si>
    <t>Class 2/3 with CML 1 and 3</t>
  </si>
  <si>
    <t>Class 2/3 without CML</t>
  </si>
  <si>
    <t>OR other Health and Safety risks</t>
  </si>
  <si>
    <t>CML 4 or 5 with no known record of event</t>
  </si>
  <si>
    <t>CML 4 in place but 1 event over the past 5 years</t>
  </si>
  <si>
    <t>CML 1, 2 and 3 in place but 1 event over the past 3 years</t>
  </si>
  <si>
    <t>CML 1 and 2 in place but 1 event over the past 3 years</t>
  </si>
  <si>
    <t>2 or more events over the past 3 years</t>
  </si>
  <si>
    <t>CML 1, 2 and 3 in place with no known record of event</t>
  </si>
  <si>
    <t>CML 1 and 2 in place with no known record of event</t>
  </si>
  <si>
    <t>CML 1 OR 2 OR 3 in place with no known record of event</t>
  </si>
  <si>
    <r>
      <t xml:space="preserve">Pick the most </t>
    </r>
    <r>
      <rPr>
        <b/>
        <sz val="12"/>
        <color rgb="FFFEDA00"/>
        <rFont val="Calibri"/>
        <family val="2"/>
        <scheme val="minor"/>
      </rPr>
      <t>accurate</t>
    </r>
  </si>
  <si>
    <t>Frequency (F)</t>
  </si>
  <si>
    <t>RARELY</t>
  </si>
  <si>
    <t>OCCASIONAL</t>
  </si>
  <si>
    <t>INTERMEDIATE</t>
  </si>
  <si>
    <t>FREQUENTLY</t>
  </si>
  <si>
    <t>PERMANENT</t>
  </si>
  <si>
    <t>Day</t>
  </si>
  <si>
    <t>-</t>
  </si>
  <si>
    <t>&lt;30 min</t>
  </si>
  <si>
    <t>30-120 min</t>
  </si>
  <si>
    <t>2-5 hours</t>
  </si>
  <si>
    <t>&gt;5 hours</t>
  </si>
  <si>
    <t>Week</t>
  </si>
  <si>
    <t>&lt;2 hours</t>
  </si>
  <si>
    <t>2-8 hours</t>
  </si>
  <si>
    <t>1-3 days</t>
  </si>
  <si>
    <t>&gt;3 days</t>
  </si>
  <si>
    <t>Month</t>
  </si>
  <si>
    <t>&lt;0.5 day</t>
  </si>
  <si>
    <t>&lt;1 days</t>
  </si>
  <si>
    <t>1-4 days</t>
  </si>
  <si>
    <t>4-15 days</t>
  </si>
  <si>
    <t>&gt; 15 days</t>
  </si>
  <si>
    <t>Year</t>
  </si>
  <si>
    <t>1 day</t>
  </si>
  <si>
    <t>&lt;5 days</t>
  </si>
  <si>
    <t>5 days -2 months</t>
  </si>
  <si>
    <t>2-5 months</t>
  </si>
  <si>
    <t>&gt; 5 months</t>
  </si>
  <si>
    <t>RISK RATING</t>
  </si>
  <si>
    <t>INTERPRETATION</t>
  </si>
  <si>
    <t>RESPONSE REQUIRED</t>
  </si>
  <si>
    <t>1-19</t>
  </si>
  <si>
    <t>LOW</t>
  </si>
  <si>
    <t>Low prioritiy - Further reduce risk if feasible.</t>
  </si>
  <si>
    <t>20-49</t>
  </si>
  <si>
    <t>MEDIUM</t>
  </si>
  <si>
    <t xml:space="preserve">Further reduce risk over time. Prioritize higher risks first. </t>
  </si>
  <si>
    <t>50-71</t>
  </si>
  <si>
    <t>HIGH</t>
  </si>
  <si>
    <t xml:space="preserve">Action plan to reduce this risk level as a lower priority. </t>
  </si>
  <si>
    <t>72-200</t>
  </si>
  <si>
    <t>CRITICAL</t>
  </si>
  <si>
    <t>Deploy interim protective measures and prioritize implementation of more secured permanent controls. 
Highlight to exposed associates the risk they are exposed to.</t>
  </si>
  <si>
    <t>Hazard not reachable as per ISO 13857 (safety distance to hazard) and compliant with 13849 (new equipment with PLC, equipment failure scenarios, ... )</t>
  </si>
  <si>
    <t>Hazard not reachable as per ISO 13857 (safety distance to hazard)</t>
  </si>
  <si>
    <t>Fracture</t>
  </si>
  <si>
    <t>Sprain</t>
  </si>
  <si>
    <t>RA Revision Number: 10</t>
  </si>
  <si>
    <t>Mechanical / Machinery hazards</t>
  </si>
  <si>
    <t>Workplace / Infrastructure Design</t>
  </si>
  <si>
    <t>Physical health hazards</t>
  </si>
  <si>
    <t>Hazardous Energy</t>
  </si>
  <si>
    <t>Transportation</t>
  </si>
  <si>
    <t>Organizational and Psychosocial</t>
  </si>
  <si>
    <t>Biological hazard</t>
  </si>
  <si>
    <t>Fire and explosion</t>
  </si>
  <si>
    <t>Hand tools (cut, impact, puncture, etc.)</t>
  </si>
  <si>
    <t>Slips, trips, and falls (same level or height)</t>
  </si>
  <si>
    <t>Noise exposure</t>
  </si>
  <si>
    <t>Explosive materials</t>
  </si>
  <si>
    <t>Electricity</t>
  </si>
  <si>
    <t>Interraction pedestrian/pedestrian</t>
  </si>
  <si>
    <t>Postures (Hit list)</t>
  </si>
  <si>
    <t>Ambiguite of the roles and responsibilities</t>
  </si>
  <si>
    <t>Viruses, bacteria, fungi</t>
  </si>
  <si>
    <t>Flammable and combustible materials</t>
  </si>
  <si>
    <t>Slippery, eneven, unstable or damaged floor</t>
  </si>
  <si>
    <t>Vibration / Impact (hand-arm, whole-body)</t>
  </si>
  <si>
    <t>Electrostatic</t>
  </si>
  <si>
    <t>Interraction pedestrian/bicycle</t>
  </si>
  <si>
    <t>Force</t>
  </si>
  <si>
    <t>Inadequate staffing</t>
  </si>
  <si>
    <t>Legionnella (specific bacteria)</t>
  </si>
  <si>
    <t>Ignition sources (open flames, sparks, static)</t>
  </si>
  <si>
    <t>Pinch / nip points</t>
  </si>
  <si>
    <t>Congested or obstructed workplace</t>
  </si>
  <si>
    <t>Heat stress</t>
  </si>
  <si>
    <t>Oxidising materials</t>
  </si>
  <si>
    <t>Electromagnetic fields</t>
  </si>
  <si>
    <t>Interraction pedestrian/Vehicle</t>
  </si>
  <si>
    <t>Lifting/Lowering</t>
  </si>
  <si>
    <t>High job demands (physical or mental workload)</t>
  </si>
  <si>
    <t>Molds or allergens</t>
  </si>
  <si>
    <t>Dust explosions (e.g., black, wood, metal dust)</t>
  </si>
  <si>
    <t>Rotating parts (entanglement)</t>
  </si>
  <si>
    <t>Clutter / Mess</t>
  </si>
  <si>
    <t>Cold stress</t>
  </si>
  <si>
    <t>Corrosive materials</t>
  </si>
  <si>
    <t>Arc flash</t>
  </si>
  <si>
    <t>Interraction bicycle/bicycle</t>
  </si>
  <si>
    <t>Pushing</t>
  </si>
  <si>
    <t>Low job control or autonomy</t>
  </si>
  <si>
    <t>Handling human or animal bodily fluids</t>
  </si>
  <si>
    <t>Oxygen-enriched environments</t>
  </si>
  <si>
    <t>Moving parts (cutting)</t>
  </si>
  <si>
    <t>Protusion (bump, puncture, cut, etc.)</t>
  </si>
  <si>
    <t xml:space="preserve">Poor lighting  (intensity, glare, reflection)  </t>
  </si>
  <si>
    <t>Acute toxicity materials</t>
  </si>
  <si>
    <t>Interraction bicycle/Vehicle</t>
  </si>
  <si>
    <t>Pulling</t>
  </si>
  <si>
    <t>Monotonous or repetitive tasks</t>
  </si>
  <si>
    <t>Bloodborne pathogens</t>
  </si>
  <si>
    <t>Moving parts (crushing)</t>
  </si>
  <si>
    <t>Hot surface</t>
  </si>
  <si>
    <t>Electro-magnetic fields</t>
  </si>
  <si>
    <t>Health hazard, sensitizers, allergens materials</t>
  </si>
  <si>
    <t>Equipment under pressure</t>
  </si>
  <si>
    <t>Interraction Vehicle/Vehicle</t>
  </si>
  <si>
    <t>Carrying</t>
  </si>
  <si>
    <t>Unclear job roles or expectations</t>
  </si>
  <si>
    <t>Contaminated waste or biological material</t>
  </si>
  <si>
    <t>Ejection (parts, materials)</t>
  </si>
  <si>
    <t>Cold surface</t>
  </si>
  <si>
    <t>Ionizing radiation (X-rays, radioactive elements)</t>
  </si>
  <si>
    <t>Carcinogens, mutagens, reprotoxic (CMRs) materials</t>
  </si>
  <si>
    <t>Compressed air</t>
  </si>
  <si>
    <t>Interraction Vehicle/Stationnary items</t>
  </si>
  <si>
    <t>Soft tissue compression</t>
  </si>
  <si>
    <t>Job insecurity or precarious employment</t>
  </si>
  <si>
    <t>Potability of water</t>
  </si>
  <si>
    <t>Angular, sharp and cutting elements</t>
  </si>
  <si>
    <t>Rough surface</t>
  </si>
  <si>
    <t>Non-ionizing radiation (UV, microwave, laser, welding radiations)</t>
  </si>
  <si>
    <t>Gas under pressure</t>
  </si>
  <si>
    <t>Poor road or yard conditions</t>
  </si>
  <si>
    <t>Unfitting gloves</t>
  </si>
  <si>
    <t>Long working hours or shift work</t>
  </si>
  <si>
    <t>Degraded or malfunctioning equipment</t>
  </si>
  <si>
    <t>Unsecured items at height</t>
  </si>
  <si>
    <t>Severe draft (eg. cold air current)</t>
  </si>
  <si>
    <t xml:space="preserve">Unintentional vehicle movement </t>
  </si>
  <si>
    <t>Standing or Sitting for long periods</t>
  </si>
  <si>
    <t>Unrealistic deadlines</t>
  </si>
  <si>
    <t>Animal or insect bites/stings</t>
  </si>
  <si>
    <t>Equipment failure</t>
  </si>
  <si>
    <t>Work at height (&lt;1.2m - &lt;4 feet)</t>
  </si>
  <si>
    <t>Smoke and fumes</t>
  </si>
  <si>
    <t>Fibers other than asbestos</t>
  </si>
  <si>
    <t>High speed vehicle, tire grip loss</t>
  </si>
  <si>
    <t>Computer workstation / Screen</t>
  </si>
  <si>
    <t>Coactivity</t>
  </si>
  <si>
    <t>Improper use of tools/machines</t>
  </si>
  <si>
    <t>Work at height (≥1.2m - ≥4 feet)</t>
  </si>
  <si>
    <t>Physical health [Generic]</t>
  </si>
  <si>
    <t>Oil</t>
  </si>
  <si>
    <t>Thermal energy (steam, heated surfaces)</t>
  </si>
  <si>
    <t>Inadequate load securing</t>
  </si>
  <si>
    <t>Inadequate tool or workstation design</t>
  </si>
  <si>
    <t>Unfamiliar work</t>
  </si>
  <si>
    <t>Hazardous vegetation</t>
  </si>
  <si>
    <t>Poor ventilation</t>
  </si>
  <si>
    <t>Kinetic energy</t>
  </si>
  <si>
    <t>Traffic [Generic]</t>
  </si>
  <si>
    <t>Poor ergonomics [Generic]</t>
  </si>
  <si>
    <t>New hire / temporary worker</t>
  </si>
  <si>
    <t>Use of lifting equipment and accessories</t>
  </si>
  <si>
    <t>Extreme heat</t>
  </si>
  <si>
    <t>Gravity</t>
  </si>
  <si>
    <t>Insufficient / inadequate training</t>
  </si>
  <si>
    <t>Use of suspension equipment (jacks, etc.)</t>
  </si>
  <si>
    <t>Extreme cold</t>
  </si>
  <si>
    <t>Stored energy (pneumatic, hydraulic, mechanical, electrical)</t>
  </si>
  <si>
    <t>Acceleration / deceleration</t>
  </si>
  <si>
    <t>Snow or ice</t>
  </si>
  <si>
    <t>Endocrine disrupters</t>
  </si>
  <si>
    <t>Exothermic chemical reaction</t>
  </si>
  <si>
    <t>Misuse of computer systems / equipment</t>
  </si>
  <si>
    <t>Extreme wind</t>
  </si>
  <si>
    <t>Lead Containing Material</t>
  </si>
  <si>
    <t>Hazardous Energy [Generic]</t>
  </si>
  <si>
    <t>Lack of adherence to standard</t>
  </si>
  <si>
    <t>Other adverse weather conditions</t>
  </si>
  <si>
    <t>Lack of standard</t>
  </si>
  <si>
    <t>Improper labeling or storage</t>
  </si>
  <si>
    <t>Disrupted sleep pattern (shift work)</t>
  </si>
  <si>
    <t>Lone work</t>
  </si>
  <si>
    <t>Incompatible chemical reactions</t>
  </si>
  <si>
    <t>Incompatible simultaneous activities</t>
  </si>
  <si>
    <t>Temporary works or unstable structures</t>
  </si>
  <si>
    <t>Chemical spills or leaks</t>
  </si>
  <si>
    <t>Distraction</t>
  </si>
  <si>
    <t>Engulfment</t>
  </si>
  <si>
    <t>Isolation (especially in remote work or lone working roles)</t>
  </si>
  <si>
    <t xml:space="preserve">Inclined surface </t>
  </si>
  <si>
    <t>Sock / vibration sensitive substances</t>
  </si>
  <si>
    <t>Workplace bullying or harassment</t>
  </si>
  <si>
    <t>Chemicals [Generic]</t>
  </si>
  <si>
    <t>Discrimination (e.g. gender, race, age)</t>
  </si>
  <si>
    <t>Coactivity area</t>
  </si>
  <si>
    <t>Poor supervisor or managerial support</t>
  </si>
  <si>
    <t>Inconsistent communication during organizational change</t>
  </si>
  <si>
    <t>Lack of transparency or trust in leadership</t>
  </si>
  <si>
    <t>Poor organizational justice (unfair treatment)</t>
  </si>
  <si>
    <t>Lack of recognition or reward</t>
  </si>
  <si>
    <t>Lack of communication or feedback</t>
  </si>
  <si>
    <t>Lack of employee involvement in decision-making</t>
  </si>
  <si>
    <t>Dealing with aggressive or violent people</t>
  </si>
  <si>
    <t>Exposure to distressing situations (e.g. emergency services, healthcare, customer complaints)</t>
  </si>
  <si>
    <t>Lack of privacy or personal space</t>
  </si>
  <si>
    <t>Inadequate rest areas</t>
  </si>
  <si>
    <t>Overcrowded or chaotic workspaces</t>
  </si>
  <si>
    <t>Remote Work Specific Hazards</t>
  </si>
  <si>
    <t>Work-Life Balance</t>
  </si>
  <si>
    <t>Employment restriction (e.g. Pregnant/breastfeeding, handicap)</t>
  </si>
  <si>
    <t xml:space="preserve">Current Control (Counter Measure level) in place </t>
  </si>
  <si>
    <t>Injury/Illness</t>
  </si>
  <si>
    <t>Abrasion, Scratches</t>
  </si>
  <si>
    <t>Allergic Reaction</t>
  </si>
  <si>
    <t>Amputation</t>
  </si>
  <si>
    <t>Avulsion</t>
  </si>
  <si>
    <t>Bite, Sting (insect or animal)</t>
  </si>
  <si>
    <t>Blister</t>
  </si>
  <si>
    <t>Bloodborne Pathogen Exposure</t>
  </si>
  <si>
    <t>Burn - Chemical</t>
  </si>
  <si>
    <t>Burn - Electrical/Electrocution</t>
  </si>
  <si>
    <t>Concussion</t>
  </si>
  <si>
    <t>Contusion, Bruise</t>
  </si>
  <si>
    <t>Crushing injury</t>
  </si>
  <si>
    <t>Cyst</t>
  </si>
  <si>
    <t>Drowning</t>
  </si>
  <si>
    <t>Eye irritation</t>
  </si>
  <si>
    <t>Headache</t>
  </si>
  <si>
    <t>Hernia</t>
  </si>
  <si>
    <t>Irritation</t>
  </si>
  <si>
    <t>Laceration, Cut, Open wound</t>
  </si>
  <si>
    <t>Loss of consciousness</t>
  </si>
  <si>
    <t>Poisoning</t>
  </si>
  <si>
    <t>Puncture</t>
  </si>
  <si>
    <t>Respiratory irritation (e.g. Asthma)</t>
  </si>
  <si>
    <t>Strain</t>
  </si>
  <si>
    <t>Asbestosis</t>
  </si>
  <si>
    <t>Black lung</t>
  </si>
  <si>
    <t>Bursitis</t>
  </si>
  <si>
    <t>Cancer</t>
  </si>
  <si>
    <t>Carpal Tunnel Syndrome</t>
  </si>
  <si>
    <t>Conjunctivitis</t>
  </si>
  <si>
    <t>Contagious or infectious disease</t>
  </si>
  <si>
    <t>Dermatitis</t>
  </si>
  <si>
    <t>Epicondylitis</t>
  </si>
  <si>
    <t>Hearing loss, or impairment</t>
  </si>
  <si>
    <t>Heart Attack</t>
  </si>
  <si>
    <t>Infection</t>
  </si>
  <si>
    <t>Occupational disease/illness not otherwise listed</t>
  </si>
  <si>
    <t>Pneumoconiosis</t>
  </si>
  <si>
    <t>Sunburn</t>
  </si>
  <si>
    <t>Tendonitis / Tenosynovitis</t>
  </si>
  <si>
    <t>Trigger finger</t>
  </si>
  <si>
    <t>Burn or Scald (thermal)</t>
  </si>
  <si>
    <t>Dislocation</t>
  </si>
  <si>
    <t>Foreign body (e.g. splinter, sliver, chip, dust)</t>
  </si>
  <si>
    <t>Frostbite / Hypothermia</t>
  </si>
  <si>
    <t>Herniated / Displaced / Ruptured Disc</t>
  </si>
  <si>
    <t>Multiple Serious Injuries / Catastrophic Event</t>
  </si>
  <si>
    <t>Muscle or connective tissue tear or Detachment</t>
  </si>
  <si>
    <t>Radiation effects - non ionizing</t>
  </si>
  <si>
    <t>Asphyxiation</t>
  </si>
  <si>
    <t>Tooth chip / break</t>
  </si>
  <si>
    <t>Chemical exposure</t>
  </si>
  <si>
    <t>Repetitive motion injury</t>
  </si>
  <si>
    <t>Smoke or fume inhalation</t>
  </si>
  <si>
    <t>Dehydration / Electrolyte imbalance</t>
  </si>
  <si>
    <t>Heat Stress / Exhaustion / Stroke</t>
  </si>
  <si>
    <t>Mental Stress / Work-related Mental Health Condition</t>
  </si>
  <si>
    <t>Musculoskeletal Disorder (MSD)</t>
  </si>
  <si>
    <t>Nerve Compression / Impingement</t>
  </si>
  <si>
    <t>Radiation Effects – Ionizing</t>
  </si>
  <si>
    <t>Vibration Syndrome</t>
  </si>
  <si>
    <t>Respiratory Condition (e.g. COPD, Silicosis)</t>
  </si>
  <si>
    <t>Work related injury not otherwise listed</t>
  </si>
  <si>
    <t>Level 6</t>
  </si>
  <si>
    <t>Elimination</t>
  </si>
  <si>
    <t>Eliminating the hazard or the dangerous task. Design out the need to do the operation</t>
  </si>
  <si>
    <t>Level 5</t>
  </si>
  <si>
    <t>Substitution</t>
  </si>
  <si>
    <t>Eliminate the human element. Mechanize the operation 
(e.g. robotization)</t>
  </si>
  <si>
    <t>Level 4</t>
  </si>
  <si>
    <t>Engineering Controls</t>
  </si>
  <si>
    <t>Technical solutions to make it difficult to do it the incorrect way. Foolproof design. 
(e.g. Poka Yoke, guardings, defense at the hazard's source)</t>
  </si>
  <si>
    <t>Level 3</t>
  </si>
  <si>
    <t>Visual management</t>
  </si>
  <si>
    <t>Constantly remind "at a glance" of the correct way. Visual controls. 
(e.g. gauge marking, signage, floor painting, lights signals, alarms)</t>
  </si>
  <si>
    <t>Level 2</t>
  </si>
  <si>
    <t>Procedural controls</t>
  </si>
  <si>
    <t>Double check the task is done the correct way
(e.g. gemba, audit, frequent recertifications, pre task assessment, supervision, signing sheet, check list)</t>
  </si>
  <si>
    <t>Level 1</t>
  </si>
  <si>
    <t>Individual Target</t>
  </si>
  <si>
    <t>Remind the person of the way to do the task correctly. 
(e.g. PPE, training, information, disciplinary action, OPL, safety talks)</t>
  </si>
  <si>
    <t>Control hierarchy - Counter measure ladder</t>
  </si>
  <si>
    <t>Insert rows above yellow line if needed</t>
  </si>
  <si>
    <t>Sight Loss or impairment</t>
  </si>
  <si>
    <t>MOLD</t>
  </si>
  <si>
    <t>MOLD FINISHING</t>
  </si>
  <si>
    <t>7ROSA</t>
  </si>
  <si>
    <t>MOLD - FINISHING - GRINDING MACHINE ROSA ERMANDO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</si>
</sst>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/yy;@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  <charset val="162"/>
    </font>
    <font>
      <sz val="10"/>
      <name val="Arial"/>
      <family val="2"/>
      <charset val="162"/>
    </font>
    <font>
      <b/>
      <sz val="11"/>
      <name val="Arial"/>
      <family val="2"/>
    </font>
    <font>
      <sz val="11"/>
      <name val="Arial"/>
      <family val="2"/>
      <charset val="162"/>
    </font>
    <font>
      <b/>
      <sz val="12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9"/>
      <color indexed="12"/>
      <name val="Arial"/>
      <family val="2"/>
    </font>
    <font>
      <b/>
      <sz val="8"/>
      <name val="Arial"/>
      <family val="2"/>
    </font>
    <font>
      <i/>
      <sz val="8"/>
      <color indexed="12"/>
      <name val="Arial"/>
      <family val="2"/>
      <charset val="162"/>
    </font>
    <font>
      <sz val="12"/>
      <name val="Arial"/>
      <family val="2"/>
    </font>
    <font>
      <sz val="12"/>
      <name val="Arial"/>
      <family val="2"/>
      <charset val="162"/>
    </font>
    <font>
      <sz val="11"/>
      <name val="Arial"/>
      <family val="2"/>
    </font>
    <font>
      <i/>
      <sz val="12"/>
      <color indexed="12"/>
      <name val="Arial"/>
      <family val="2"/>
      <charset val="162"/>
    </font>
    <font>
      <sz val="8"/>
      <name val="Arial"/>
      <family val="2"/>
      <charset val="162"/>
    </font>
    <font>
      <b/>
      <sz val="8"/>
      <color indexed="12"/>
      <name val="Arial"/>
      <family val="2"/>
    </font>
    <font>
      <b/>
      <sz val="11"/>
      <name val="Arial"/>
      <family val="2"/>
      <charset val="162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EDA00"/>
      <name val="Arial"/>
      <family val="2"/>
    </font>
    <font>
      <sz val="11"/>
      <color rgb="FFFEDA00"/>
      <name val="Arial"/>
      <family val="2"/>
    </font>
    <font>
      <b/>
      <sz val="11"/>
      <color rgb="FFFEDA00"/>
      <name val="Arial"/>
      <family val="2"/>
      <charset val="162"/>
    </font>
    <font>
      <b/>
      <sz val="11"/>
      <color rgb="FF004EA8"/>
      <name val="Arial"/>
      <family val="2"/>
    </font>
    <font>
      <b/>
      <sz val="10"/>
      <color theme="0" tint="-0.3499862666707357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 tint="-0.34998626667073579"/>
      <name val="Arial"/>
      <family val="2"/>
    </font>
    <font>
      <b/>
      <sz val="12"/>
      <color rgb="FFFF0000"/>
      <name val="Arial"/>
      <family val="2"/>
    </font>
    <font>
      <b/>
      <sz val="12"/>
      <color rgb="FF00B050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FEDA00"/>
      <name val="Calibri"/>
      <family val="2"/>
      <scheme val="minor"/>
    </font>
    <font>
      <b/>
      <sz val="12"/>
      <color rgb="FFFEDA00"/>
      <name val="Calibri"/>
      <family val="2"/>
      <scheme val="minor"/>
    </font>
    <font>
      <b/>
      <sz val="12"/>
      <color rgb="FF004EA8"/>
      <name val="Arial"/>
      <family val="2"/>
    </font>
    <font>
      <b/>
      <sz val="10"/>
      <color rgb="FF004EA8"/>
      <name val="Arial"/>
      <family val="2"/>
    </font>
    <font>
      <b/>
      <sz val="9"/>
      <color rgb="FF004EA8"/>
      <name val="Arial"/>
      <family val="2"/>
    </font>
    <font>
      <sz val="5"/>
      <name val="Arial"/>
      <family val="2"/>
    </font>
    <font>
      <sz val="8"/>
      <color rgb="FFFF0000"/>
      <name val="Arial"/>
      <family val="2"/>
    </font>
    <font>
      <b/>
      <sz val="14"/>
      <color rgb="FF004EA8"/>
      <name val="Arial"/>
      <family val="2"/>
    </font>
    <font>
      <sz val="16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8"/>
      <color rgb="FFFEDA00"/>
      <name val="Calibri"/>
      <family val="2"/>
      <scheme val="minor"/>
    </font>
    <font>
      <b/>
      <sz val="11"/>
      <color rgb="FFFEDA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6623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547DC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6FC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004EA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EDA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/>
      <right style="thin">
        <color indexed="64"/>
      </right>
      <top style="thin">
        <color auto="1"/>
      </top>
      <bottom style="double">
        <color auto="1"/>
      </bottom>
      <diagonal/>
    </border>
    <border>
      <left/>
      <right style="medium">
        <color indexed="64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 style="dotted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otted">
        <color theme="0" tint="-0.14996795556505021"/>
      </top>
      <bottom style="double">
        <color auto="1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theme="0" tint="-0.14996795556505021"/>
      </bottom>
      <diagonal/>
    </border>
    <border>
      <left style="thin">
        <color indexed="64"/>
      </left>
      <right style="thin">
        <color indexed="64"/>
      </right>
      <top style="dotted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2" fillId="0" borderId="0"/>
  </cellStyleXfs>
  <cellXfs count="248">
    <xf numFmtId="0" fontId="0" fillId="0" borderId="0" xfId="0"/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9" xfId="0" applyFont="1" applyBorder="1" applyAlignment="1" applyProtection="1">
      <alignment horizontal="left" vertical="center" wrapText="1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18" fillId="0" borderId="5" xfId="0" applyFont="1" applyBorder="1" applyAlignment="1" applyProtection="1">
      <alignment horizontal="center" vertical="center" wrapText="1"/>
      <protection locked="0"/>
    </xf>
    <xf numFmtId="2" fontId="18" fillId="0" borderId="5" xfId="0" applyNumberFormat="1" applyFont="1" applyBorder="1" applyAlignment="1" applyProtection="1">
      <alignment horizontal="center" vertical="center" wrapText="1"/>
      <protection locked="0"/>
    </xf>
    <xf numFmtId="0" fontId="18" fillId="0" borderId="5" xfId="0" applyFont="1" applyBorder="1" applyAlignment="1" applyProtection="1">
      <alignment horizontal="left" vertical="center" wrapText="1"/>
      <protection locked="0"/>
    </xf>
    <xf numFmtId="1" fontId="18" fillId="0" borderId="5" xfId="0" applyNumberFormat="1" applyFont="1" applyBorder="1" applyAlignment="1" applyProtection="1">
      <alignment horizontal="center" vertical="center" wrapText="1"/>
      <protection locked="0"/>
    </xf>
    <xf numFmtId="0" fontId="1" fillId="2" borderId="0" xfId="3" applyFill="1" applyAlignment="1">
      <alignment horizontal="left" vertical="center"/>
    </xf>
    <xf numFmtId="0" fontId="24" fillId="2" borderId="0" xfId="3" applyFont="1" applyFill="1" applyAlignment="1">
      <alignment horizontal="center" vertical="center"/>
    </xf>
    <xf numFmtId="0" fontId="26" fillId="2" borderId="0" xfId="3" applyFont="1" applyFill="1" applyAlignment="1">
      <alignment horizontal="left" vertical="center"/>
    </xf>
    <xf numFmtId="0" fontId="3" fillId="2" borderId="0" xfId="0" applyFont="1" applyFill="1" applyAlignment="1" applyProtection="1">
      <alignment horizontal="center" vertical="center" wrapText="1"/>
    </xf>
    <xf numFmtId="0" fontId="4" fillId="2" borderId="0" xfId="0" applyFont="1" applyFill="1" applyAlignment="1" applyProtection="1">
      <alignment vertical="center" wrapText="1"/>
    </xf>
    <xf numFmtId="0" fontId="3" fillId="2" borderId="0" xfId="0" applyFont="1" applyFill="1" applyAlignment="1" applyProtection="1">
      <alignment vertical="center" wrapText="1"/>
    </xf>
    <xf numFmtId="0" fontId="5" fillId="2" borderId="0" xfId="0" applyFont="1" applyFill="1" applyAlignment="1" applyProtection="1">
      <alignment vertical="center" wrapText="1"/>
    </xf>
    <xf numFmtId="0" fontId="3" fillId="0" borderId="0" xfId="0" applyFont="1" applyAlignment="1" applyProtection="1">
      <alignment vertical="center" wrapText="1"/>
    </xf>
    <xf numFmtId="0" fontId="16" fillId="0" borderId="2" xfId="2" applyFont="1" applyBorder="1" applyAlignment="1" applyProtection="1">
      <alignment horizontal="center" vertical="center" wrapText="1"/>
    </xf>
    <xf numFmtId="0" fontId="3" fillId="2" borderId="0" xfId="0" applyFont="1" applyFill="1" applyAlignment="1" applyProtection="1">
      <alignment horizontal="left" vertical="center" wrapText="1"/>
    </xf>
    <xf numFmtId="0" fontId="16" fillId="0" borderId="6" xfId="2" applyFont="1" applyBorder="1" applyAlignment="1" applyProtection="1">
      <alignment horizontal="center" vertical="center" wrapText="1"/>
    </xf>
    <xf numFmtId="0" fontId="0" fillId="2" borderId="0" xfId="0" applyFill="1" applyProtection="1"/>
    <xf numFmtId="0" fontId="3" fillId="0" borderId="0" xfId="0" applyFont="1" applyAlignment="1" applyProtection="1">
      <alignment horizontal="left" vertical="center" wrapText="1"/>
    </xf>
    <xf numFmtId="0" fontId="5" fillId="3" borderId="3" xfId="2" applyFill="1" applyBorder="1" applyAlignment="1" applyProtection="1">
      <alignment horizontal="right" vertical="center"/>
    </xf>
    <xf numFmtId="0" fontId="5" fillId="4" borderId="3" xfId="2" applyFill="1" applyBorder="1" applyAlignment="1" applyProtection="1">
      <alignment horizontal="right" vertical="center"/>
    </xf>
    <xf numFmtId="0" fontId="10" fillId="2" borderId="3" xfId="2" applyFont="1" applyFill="1" applyBorder="1" applyAlignment="1" applyProtection="1">
      <alignment horizontal="right" vertical="center"/>
    </xf>
    <xf numFmtId="0" fontId="8" fillId="0" borderId="6" xfId="0" applyFont="1" applyBorder="1" applyAlignment="1" applyProtection="1">
      <alignment horizontal="center" vertical="center" wrapText="1"/>
    </xf>
    <xf numFmtId="0" fontId="10" fillId="0" borderId="18" xfId="0" applyFont="1" applyBorder="1" applyAlignment="1" applyProtection="1">
      <alignment horizontal="right" vertical="center" wrapText="1"/>
    </xf>
    <xf numFmtId="0" fontId="8" fillId="0" borderId="19" xfId="0" applyFont="1" applyBorder="1" applyAlignment="1" applyProtection="1">
      <alignment horizontal="center" vertical="center" wrapText="1"/>
    </xf>
    <xf numFmtId="0" fontId="13" fillId="2" borderId="0" xfId="0" applyFont="1" applyFill="1" applyAlignment="1" applyProtection="1">
      <alignment horizontal="left" vertical="center" wrapText="1"/>
    </xf>
    <xf numFmtId="0" fontId="10" fillId="2" borderId="16" xfId="0" applyFont="1" applyFill="1" applyBorder="1" applyAlignment="1" applyProtection="1">
      <alignment horizontal="right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15" fillId="2" borderId="0" xfId="0" applyFont="1" applyFill="1" applyAlignment="1" applyProtection="1">
      <alignment horizontal="left" vertical="center" wrapText="1"/>
    </xf>
    <xf numFmtId="0" fontId="11" fillId="2" borderId="3" xfId="0" applyFont="1" applyFill="1" applyBorder="1" applyAlignment="1" applyProtection="1">
      <alignment horizontal="right" vertical="center" wrapText="1"/>
    </xf>
    <xf numFmtId="0" fontId="36" fillId="0" borderId="6" xfId="0" applyFont="1" applyBorder="1" applyAlignment="1" applyProtection="1">
      <alignment horizontal="center" vertical="center" wrapText="1"/>
    </xf>
    <xf numFmtId="0" fontId="8" fillId="2" borderId="0" xfId="2" applyFont="1" applyFill="1" applyAlignment="1" applyProtection="1">
      <alignment horizontal="right" vertical="center" wrapText="1"/>
    </xf>
    <xf numFmtId="0" fontId="16" fillId="2" borderId="0" xfId="2" applyFont="1" applyFill="1" applyAlignment="1" applyProtection="1">
      <alignment horizontal="center" vertical="center" wrapText="1"/>
    </xf>
    <xf numFmtId="0" fontId="17" fillId="2" borderId="0" xfId="0" applyFont="1" applyFill="1" applyAlignment="1" applyProtection="1">
      <alignment horizontal="left" vertical="center" textRotation="90" wrapText="1"/>
    </xf>
    <xf numFmtId="0" fontId="12" fillId="2" borderId="3" xfId="0" applyFont="1" applyFill="1" applyBorder="1" applyAlignment="1" applyProtection="1">
      <alignment horizontal="right" vertical="center" wrapText="1"/>
    </xf>
    <xf numFmtId="0" fontId="35" fillId="2" borderId="6" xfId="0" applyFont="1" applyFill="1" applyBorder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left" vertical="center" wrapText="1"/>
    </xf>
    <xf numFmtId="0" fontId="31" fillId="2" borderId="7" xfId="0" applyFont="1" applyFill="1" applyBorder="1" applyAlignment="1" applyProtection="1">
      <alignment horizontal="right" vertical="center" wrapText="1"/>
    </xf>
    <xf numFmtId="0" fontId="34" fillId="2" borderId="9" xfId="0" applyFont="1" applyFill="1" applyBorder="1" applyAlignment="1" applyProtection="1">
      <alignment horizontal="center" vertical="center" wrapText="1"/>
    </xf>
    <xf numFmtId="0" fontId="19" fillId="2" borderId="0" xfId="0" applyFont="1" applyFill="1" applyAlignment="1" applyProtection="1">
      <alignment horizontal="left" vertical="center" wrapText="1"/>
    </xf>
    <xf numFmtId="14" fontId="20" fillId="2" borderId="0" xfId="0" applyNumberFormat="1" applyFont="1" applyFill="1" applyAlignment="1" applyProtection="1">
      <alignment horizontal="left" vertical="center" wrapText="1"/>
    </xf>
    <xf numFmtId="0" fontId="14" fillId="0" borderId="3" xfId="0" applyFont="1" applyBorder="1" applyAlignment="1" applyProtection="1">
      <alignment vertical="center" wrapText="1"/>
    </xf>
    <xf numFmtId="0" fontId="21" fillId="2" borderId="6" xfId="0" applyFont="1" applyFill="1" applyBorder="1" applyAlignment="1" applyProtection="1">
      <alignment vertical="center" wrapText="1"/>
    </xf>
    <xf numFmtId="0" fontId="14" fillId="2" borderId="0" xfId="0" applyFont="1" applyFill="1" applyAlignment="1" applyProtection="1">
      <alignment vertical="center" wrapText="1"/>
    </xf>
    <xf numFmtId="0" fontId="13" fillId="2" borderId="0" xfId="0" applyFont="1" applyFill="1" applyAlignment="1" applyProtection="1">
      <alignment vertical="center" wrapText="1"/>
    </xf>
    <xf numFmtId="0" fontId="6" fillId="17" borderId="7" xfId="0" applyFont="1" applyFill="1" applyBorder="1" applyAlignment="1" applyProtection="1">
      <alignment vertical="center" wrapText="1"/>
    </xf>
    <xf numFmtId="0" fontId="14" fillId="0" borderId="0" xfId="0" applyFont="1" applyAlignment="1" applyProtection="1">
      <alignment vertical="center" wrapText="1"/>
    </xf>
    <xf numFmtId="0" fontId="14" fillId="2" borderId="0" xfId="0" applyFont="1" applyFill="1" applyAlignment="1" applyProtection="1">
      <alignment horizontal="center" vertical="center" wrapText="1"/>
    </xf>
    <xf numFmtId="0" fontId="29" fillId="15" borderId="1" xfId="0" applyFont="1" applyFill="1" applyBorder="1" applyAlignment="1" applyProtection="1">
      <alignment horizontal="center" vertical="center" wrapText="1"/>
    </xf>
    <xf numFmtId="0" fontId="29" fillId="15" borderId="4" xfId="0" applyFont="1" applyFill="1" applyBorder="1" applyAlignment="1" applyProtection="1">
      <alignment horizontal="center" vertical="center" wrapText="1"/>
    </xf>
    <xf numFmtId="0" fontId="29" fillId="15" borderId="4" xfId="0" applyFont="1" applyFill="1" applyBorder="1" applyAlignment="1" applyProtection="1">
      <alignment horizontal="center" vertical="center"/>
    </xf>
    <xf numFmtId="0" fontId="22" fillId="17" borderId="13" xfId="4" applyFont="1" applyFill="1" applyBorder="1" applyAlignment="1" applyProtection="1">
      <alignment horizontal="center" vertical="center" wrapText="1"/>
    </xf>
    <xf numFmtId="0" fontId="29" fillId="15" borderId="4" xfId="0" applyFont="1" applyFill="1" applyBorder="1" applyAlignment="1" applyProtection="1">
      <alignment horizontal="center" vertical="center" textRotation="90" wrapText="1" shrinkToFit="1"/>
    </xf>
    <xf numFmtId="0" fontId="29" fillId="16" borderId="4" xfId="0" applyFont="1" applyFill="1" applyBorder="1" applyAlignment="1" applyProtection="1">
      <alignment horizontal="left" vertical="center" wrapText="1"/>
    </xf>
    <xf numFmtId="0" fontId="29" fillId="16" borderId="4" xfId="0" applyFont="1" applyFill="1" applyBorder="1" applyAlignment="1" applyProtection="1">
      <alignment horizontal="center" vertical="center" wrapText="1" shrinkToFit="1"/>
    </xf>
    <xf numFmtId="0" fontId="29" fillId="16" borderId="4" xfId="0" applyFont="1" applyFill="1" applyBorder="1" applyAlignment="1" applyProtection="1">
      <alignment horizontal="center" vertical="center" textRotation="90" wrapText="1" shrinkToFit="1"/>
    </xf>
    <xf numFmtId="0" fontId="22" fillId="5" borderId="4" xfId="0" applyFont="1" applyFill="1" applyBorder="1" applyAlignment="1" applyProtection="1">
      <alignment horizontal="center" vertical="center" wrapText="1"/>
    </xf>
    <xf numFmtId="0" fontId="30" fillId="18" borderId="4" xfId="2" applyFont="1" applyFill="1" applyBorder="1" applyAlignment="1" applyProtection="1">
      <alignment horizontal="center" vertical="center" wrapText="1"/>
    </xf>
    <xf numFmtId="0" fontId="30" fillId="18" borderId="4" xfId="2" applyFont="1" applyFill="1" applyBorder="1" applyAlignment="1" applyProtection="1">
      <alignment horizontal="center" vertical="center" wrapText="1" shrinkToFit="1"/>
    </xf>
    <xf numFmtId="0" fontId="30" fillId="18" borderId="15" xfId="2" applyFont="1" applyFill="1" applyBorder="1" applyAlignment="1" applyProtection="1">
      <alignment horizontal="center" vertical="center" wrapText="1" shrinkToFit="1"/>
    </xf>
    <xf numFmtId="0" fontId="22" fillId="2" borderId="0" xfId="0" applyFont="1" applyFill="1" applyAlignment="1" applyProtection="1">
      <alignment vertical="center" wrapText="1"/>
    </xf>
    <xf numFmtId="0" fontId="22" fillId="0" borderId="0" xfId="0" applyFont="1" applyAlignment="1" applyProtection="1">
      <alignment vertical="center" wrapText="1"/>
    </xf>
    <xf numFmtId="0" fontId="18" fillId="0" borderId="5" xfId="0" applyFont="1" applyBorder="1" applyAlignment="1" applyProtection="1">
      <alignment horizontal="center" vertical="center" wrapText="1"/>
    </xf>
    <xf numFmtId="0" fontId="9" fillId="0" borderId="5" xfId="0" applyFont="1" applyBorder="1" applyAlignment="1" applyProtection="1">
      <alignment horizontal="center" vertical="center" wrapText="1"/>
    </xf>
    <xf numFmtId="0" fontId="18" fillId="0" borderId="5" xfId="0" applyFont="1" applyBorder="1" applyAlignment="1" applyProtection="1">
      <alignment vertical="center" wrapText="1"/>
    </xf>
    <xf numFmtId="0" fontId="18" fillId="2" borderId="0" xfId="0" applyFont="1" applyFill="1" applyAlignment="1" applyProtection="1">
      <alignment vertical="center" wrapText="1"/>
    </xf>
    <xf numFmtId="0" fontId="18" fillId="0" borderId="0" xfId="0" applyFont="1" applyAlignment="1" applyProtection="1">
      <alignment vertical="center" wrapText="1"/>
    </xf>
    <xf numFmtId="0" fontId="18" fillId="18" borderId="7" xfId="0" applyFont="1" applyFill="1" applyBorder="1" applyAlignment="1" applyProtection="1">
      <alignment horizontal="center" vertical="center" wrapText="1"/>
    </xf>
    <xf numFmtId="0" fontId="18" fillId="18" borderId="8" xfId="0" applyFont="1" applyFill="1" applyBorder="1" applyAlignment="1" applyProtection="1">
      <alignment horizontal="center" vertical="center" wrapText="1"/>
    </xf>
    <xf numFmtId="0" fontId="18" fillId="18" borderId="5" xfId="0" applyFont="1" applyFill="1" applyBorder="1" applyAlignment="1" applyProtection="1">
      <alignment horizontal="center" vertical="center" wrapText="1"/>
    </xf>
    <xf numFmtId="2" fontId="18" fillId="18" borderId="8" xfId="0" applyNumberFormat="1" applyFont="1" applyFill="1" applyBorder="1" applyAlignment="1" applyProtection="1">
      <alignment horizontal="center" vertical="center" wrapText="1"/>
    </xf>
    <xf numFmtId="0" fontId="9" fillId="0" borderId="8" xfId="0" applyFont="1" applyBorder="1" applyAlignment="1" applyProtection="1">
      <alignment horizontal="center" vertical="center" wrapText="1"/>
    </xf>
    <xf numFmtId="10" fontId="18" fillId="18" borderId="8" xfId="0" applyNumberFormat="1" applyFont="1" applyFill="1" applyBorder="1" applyAlignment="1" applyProtection="1">
      <alignment horizontal="center" vertical="center" wrapText="1"/>
    </xf>
    <xf numFmtId="0" fontId="18" fillId="0" borderId="8" xfId="0" applyFont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 wrapText="1"/>
    </xf>
    <xf numFmtId="0" fontId="7" fillId="0" borderId="0" xfId="0" applyFont="1" applyAlignment="1" applyProtection="1">
      <alignment vertical="center" wrapText="1"/>
    </xf>
    <xf numFmtId="0" fontId="3" fillId="0" borderId="0" xfId="0" applyFont="1" applyAlignment="1" applyProtection="1">
      <alignment horizontal="center" vertical="center" wrapText="1"/>
    </xf>
    <xf numFmtId="0" fontId="7" fillId="2" borderId="0" xfId="0" applyFont="1" applyFill="1" applyAlignment="1" applyProtection="1">
      <alignment vertical="center" wrapText="1"/>
    </xf>
    <xf numFmtId="0" fontId="5" fillId="0" borderId="0" xfId="0" applyFont="1" applyAlignment="1" applyProtection="1">
      <alignment vertical="center" wrapText="1"/>
    </xf>
    <xf numFmtId="0" fontId="14" fillId="0" borderId="5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14" fontId="3" fillId="0" borderId="5" xfId="0" applyNumberFormat="1" applyFont="1" applyBorder="1" applyAlignment="1" applyProtection="1">
      <alignment horizontal="center" vertical="center" wrapText="1"/>
    </xf>
    <xf numFmtId="0" fontId="18" fillId="19" borderId="5" xfId="0" applyFont="1" applyFill="1" applyBorder="1" applyAlignment="1" applyProtection="1">
      <alignment horizontal="center" vertical="center" wrapText="1"/>
    </xf>
    <xf numFmtId="0" fontId="18" fillId="19" borderId="5" xfId="0" applyFont="1" applyFill="1" applyBorder="1" applyAlignment="1" applyProtection="1">
      <alignment vertical="center" wrapText="1"/>
    </xf>
    <xf numFmtId="10" fontId="18" fillId="19" borderId="5" xfId="0" applyNumberFormat="1" applyFont="1" applyFill="1" applyBorder="1" applyAlignment="1" applyProtection="1">
      <alignment horizontal="center" vertical="center" wrapText="1"/>
    </xf>
    <xf numFmtId="0" fontId="18" fillId="19" borderId="6" xfId="0" applyFont="1" applyFill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</xf>
    <xf numFmtId="0" fontId="0" fillId="18" borderId="14" xfId="0" applyFill="1" applyBorder="1" applyAlignment="1" applyProtection="1">
      <alignment horizontal="center" vertical="center"/>
    </xf>
    <xf numFmtId="0" fontId="18" fillId="0" borderId="5" xfId="0" applyFont="1" applyFill="1" applyBorder="1" applyAlignment="1" applyProtection="1">
      <alignment horizontal="center" vertical="center" wrapText="1"/>
      <protection locked="0"/>
    </xf>
    <xf numFmtId="2" fontId="18" fillId="0" borderId="20" xfId="0" applyNumberFormat="1" applyFont="1" applyBorder="1" applyAlignment="1" applyProtection="1">
      <alignment horizontal="center" vertical="center" wrapText="1"/>
      <protection locked="0"/>
    </xf>
    <xf numFmtId="0" fontId="18" fillId="0" borderId="21" xfId="0" applyFont="1" applyBorder="1" applyAlignment="1" applyProtection="1">
      <alignment horizontal="center" vertical="center" wrapText="1"/>
      <protection locked="0"/>
    </xf>
    <xf numFmtId="0" fontId="29" fillId="15" borderId="14" xfId="0" applyFont="1" applyFill="1" applyBorder="1" applyAlignment="1" applyProtection="1">
      <alignment horizontal="center" vertical="center" textRotation="90" wrapText="1" shrinkToFit="1"/>
    </xf>
    <xf numFmtId="0" fontId="5" fillId="12" borderId="3" xfId="2" applyFill="1" applyBorder="1" applyAlignment="1" applyProtection="1">
      <alignment horizontal="right" vertical="center"/>
    </xf>
    <xf numFmtId="0" fontId="18" fillId="0" borderId="5" xfId="0" quotePrefix="1" applyFont="1" applyBorder="1" applyAlignment="1" applyProtection="1">
      <alignment horizontal="center" vertical="center" wrapText="1"/>
      <protection locked="0"/>
    </xf>
    <xf numFmtId="0" fontId="37" fillId="0" borderId="5" xfId="3" applyFont="1" applyFill="1" applyBorder="1" applyAlignment="1">
      <alignment horizontal="center" vertical="center"/>
    </xf>
    <xf numFmtId="0" fontId="5" fillId="20" borderId="1" xfId="2" applyFill="1" applyBorder="1" applyAlignment="1" applyProtection="1">
      <alignment horizontal="right" vertical="center"/>
    </xf>
    <xf numFmtId="0" fontId="25" fillId="12" borderId="5" xfId="3" applyFont="1" applyFill="1" applyBorder="1" applyAlignment="1">
      <alignment horizontal="left" vertical="center" wrapText="1"/>
    </xf>
    <xf numFmtId="0" fontId="1" fillId="2" borderId="5" xfId="3" applyFill="1" applyBorder="1" applyAlignment="1">
      <alignment horizontal="left" vertical="center"/>
    </xf>
    <xf numFmtId="0" fontId="25" fillId="12" borderId="5" xfId="3" applyFont="1" applyFill="1" applyBorder="1" applyAlignment="1">
      <alignment horizontal="left" vertical="center"/>
    </xf>
    <xf numFmtId="0" fontId="41" fillId="18" borderId="4" xfId="2" applyFont="1" applyFill="1" applyBorder="1" applyAlignment="1">
      <alignment horizontal="center"/>
    </xf>
    <xf numFmtId="0" fontId="41" fillId="18" borderId="2" xfId="2" applyFont="1" applyFill="1" applyBorder="1" applyAlignment="1">
      <alignment horizontal="center"/>
    </xf>
    <xf numFmtId="0" fontId="42" fillId="18" borderId="5" xfId="2" applyFont="1" applyFill="1" applyBorder="1" applyAlignment="1">
      <alignment horizontal="center" vertical="center" wrapText="1"/>
    </xf>
    <xf numFmtId="0" fontId="43" fillId="18" borderId="5" xfId="2" applyFont="1" applyFill="1" applyBorder="1" applyAlignment="1">
      <alignment horizontal="center" vertical="center" wrapText="1"/>
    </xf>
    <xf numFmtId="0" fontId="42" fillId="18" borderId="6" xfId="2" applyFont="1" applyFill="1" applyBorder="1" applyAlignment="1">
      <alignment horizontal="center" vertical="center" wrapText="1"/>
    </xf>
    <xf numFmtId="0" fontId="10" fillId="2" borderId="8" xfId="2" applyFont="1" applyFill="1" applyBorder="1" applyAlignment="1">
      <alignment horizontal="center" vertical="center" wrapText="1"/>
    </xf>
    <xf numFmtId="0" fontId="3" fillId="0" borderId="8" xfId="2" quotePrefix="1" applyFont="1" applyBorder="1" applyAlignment="1">
      <alignment horizontal="left" vertical="center" wrapText="1"/>
    </xf>
    <xf numFmtId="0" fontId="3" fillId="0" borderId="9" xfId="2" quotePrefix="1" applyFont="1" applyBorder="1" applyAlignment="1">
      <alignment horizontal="left" vertical="center" wrapText="1"/>
    </xf>
    <xf numFmtId="0" fontId="42" fillId="18" borderId="27" xfId="2" applyFont="1" applyFill="1" applyBorder="1" applyAlignment="1">
      <alignment horizontal="center" vertical="center" wrapText="1"/>
    </xf>
    <xf numFmtId="0" fontId="42" fillId="18" borderId="28" xfId="2" applyFont="1" applyFill="1" applyBorder="1" applyAlignment="1">
      <alignment horizontal="center" vertical="center" wrapText="1"/>
    </xf>
    <xf numFmtId="0" fontId="10" fillId="2" borderId="29" xfId="2" applyFont="1" applyFill="1" applyBorder="1" applyAlignment="1">
      <alignment horizontal="center" vertical="center" wrapText="1"/>
    </xf>
    <xf numFmtId="0" fontId="3" fillId="0" borderId="29" xfId="2" applyFont="1" applyBorder="1" applyAlignment="1">
      <alignment horizontal="left" vertical="center" wrapText="1"/>
    </xf>
    <xf numFmtId="0" fontId="3" fillId="0" borderId="30" xfId="2" quotePrefix="1" applyFont="1" applyBorder="1" applyAlignment="1">
      <alignment horizontal="left" vertical="center" wrapText="1"/>
    </xf>
    <xf numFmtId="0" fontId="3" fillId="0" borderId="29" xfId="2" quotePrefix="1" applyFont="1" applyBorder="1" applyAlignment="1">
      <alignment horizontal="left" vertical="center" wrapText="1"/>
    </xf>
    <xf numFmtId="0" fontId="3" fillId="0" borderId="31" xfId="2" quotePrefix="1" applyFont="1" applyBorder="1" applyAlignment="1">
      <alignment horizontal="left" vertical="center" wrapText="1"/>
    </xf>
    <xf numFmtId="0" fontId="45" fillId="0" borderId="32" xfId="2" applyFont="1" applyBorder="1" applyAlignment="1">
      <alignment horizontal="center" vertical="center" wrapText="1"/>
    </xf>
    <xf numFmtId="0" fontId="3" fillId="0" borderId="34" xfId="2" applyFont="1" applyBorder="1" applyAlignment="1">
      <alignment horizontal="center" vertical="center" wrapText="1"/>
    </xf>
    <xf numFmtId="0" fontId="38" fillId="0" borderId="0" xfId="0" quotePrefix="1" applyFont="1"/>
    <xf numFmtId="0" fontId="3" fillId="0" borderId="37" xfId="2" applyFont="1" applyBorder="1" applyAlignment="1">
      <alignment horizontal="center" vertical="center" wrapText="1"/>
    </xf>
    <xf numFmtId="0" fontId="3" fillId="0" borderId="39" xfId="2" applyFont="1" applyBorder="1" applyAlignment="1">
      <alignment horizontal="center" vertical="center" wrapText="1"/>
    </xf>
    <xf numFmtId="0" fontId="3" fillId="0" borderId="26" xfId="2" applyFont="1" applyBorder="1" applyAlignment="1">
      <alignment horizontal="center" vertical="center" wrapText="1"/>
    </xf>
    <xf numFmtId="0" fontId="3" fillId="0" borderId="40" xfId="2" applyFont="1" applyBorder="1" applyAlignment="1">
      <alignment horizontal="center" vertical="center" wrapText="1"/>
    </xf>
    <xf numFmtId="0" fontId="38" fillId="0" borderId="0" xfId="0" applyFont="1"/>
    <xf numFmtId="0" fontId="10" fillId="2" borderId="5" xfId="2" applyFont="1" applyFill="1" applyBorder="1" applyAlignment="1">
      <alignment horizontal="center" vertical="center" wrapText="1"/>
    </xf>
    <xf numFmtId="0" fontId="3" fillId="0" borderId="5" xfId="2" quotePrefix="1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10" fillId="0" borderId="8" xfId="2" applyFont="1" applyBorder="1" applyAlignment="1">
      <alignment horizontal="center" vertical="center" wrapText="1"/>
    </xf>
    <xf numFmtId="0" fontId="3" fillId="0" borderId="8" xfId="2" applyFont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49" fontId="7" fillId="0" borderId="6" xfId="0" applyNumberFormat="1" applyFont="1" applyBorder="1" applyAlignment="1" applyProtection="1">
      <alignment horizontal="left" vertical="center" wrapText="1"/>
      <protection locked="0"/>
    </xf>
    <xf numFmtId="0" fontId="10" fillId="2" borderId="24" xfId="2" applyFont="1" applyFill="1" applyBorder="1" applyAlignment="1">
      <alignment horizontal="center" vertical="center" wrapText="1"/>
    </xf>
    <xf numFmtId="0" fontId="24" fillId="7" borderId="5" xfId="3" applyFont="1" applyFill="1" applyBorder="1" applyAlignment="1">
      <alignment horizontal="center" vertical="center"/>
    </xf>
    <xf numFmtId="0" fontId="24" fillId="8" borderId="5" xfId="3" applyFont="1" applyFill="1" applyBorder="1" applyAlignment="1">
      <alignment horizontal="center" vertical="center"/>
    </xf>
    <xf numFmtId="0" fontId="24" fillId="9" borderId="5" xfId="3" applyFont="1" applyFill="1" applyBorder="1" applyAlignment="1">
      <alignment horizontal="center" vertical="center"/>
    </xf>
    <xf numFmtId="0" fontId="24" fillId="10" borderId="5" xfId="3" applyFont="1" applyFill="1" applyBorder="1" applyAlignment="1">
      <alignment horizontal="center" vertical="center"/>
    </xf>
    <xf numFmtId="0" fontId="24" fillId="6" borderId="5" xfId="3" applyFont="1" applyFill="1" applyBorder="1" applyAlignment="1">
      <alignment horizontal="center" vertical="center"/>
    </xf>
    <xf numFmtId="0" fontId="24" fillId="11" borderId="5" xfId="3" applyFont="1" applyFill="1" applyBorder="1" applyAlignment="1">
      <alignment horizontal="center" vertical="center"/>
    </xf>
    <xf numFmtId="0" fontId="24" fillId="12" borderId="5" xfId="3" applyFont="1" applyFill="1" applyBorder="1" applyAlignment="1">
      <alignment horizontal="center" vertical="center"/>
    </xf>
    <xf numFmtId="0" fontId="24" fillId="13" borderId="5" xfId="3" applyFont="1" applyFill="1" applyBorder="1" applyAlignment="1">
      <alignment horizontal="center" vertical="center"/>
    </xf>
    <xf numFmtId="0" fontId="24" fillId="14" borderId="5" xfId="3" applyFont="1" applyFill="1" applyBorder="1" applyAlignment="1">
      <alignment horizontal="center" vertical="center"/>
    </xf>
    <xf numFmtId="0" fontId="24" fillId="20" borderId="5" xfId="3" applyFont="1" applyFill="1" applyBorder="1" applyAlignment="1">
      <alignment horizontal="center" vertical="center"/>
    </xf>
    <xf numFmtId="0" fontId="25" fillId="7" borderId="5" xfId="3" applyFont="1" applyFill="1" applyBorder="1" applyAlignment="1">
      <alignment horizontal="left" vertical="center"/>
    </xf>
    <xf numFmtId="0" fontId="25" fillId="8" borderId="5" xfId="3" applyFont="1" applyFill="1" applyBorder="1" applyAlignment="1">
      <alignment horizontal="left" vertical="center"/>
    </xf>
    <xf numFmtId="0" fontId="25" fillId="9" borderId="5" xfId="3" applyFont="1" applyFill="1" applyBorder="1" applyAlignment="1">
      <alignment horizontal="left" vertical="center"/>
    </xf>
    <xf numFmtId="0" fontId="25" fillId="10" borderId="5" xfId="3" applyFont="1" applyFill="1" applyBorder="1" applyAlignment="1">
      <alignment horizontal="left" vertical="center"/>
    </xf>
    <xf numFmtId="0" fontId="25" fillId="6" borderId="5" xfId="3" applyFont="1" applyFill="1" applyBorder="1" applyAlignment="1">
      <alignment horizontal="left" vertical="center"/>
    </xf>
    <xf numFmtId="0" fontId="25" fillId="11" borderId="5" xfId="3" applyFont="1" applyFill="1" applyBorder="1" applyAlignment="1">
      <alignment horizontal="left" vertical="center"/>
    </xf>
    <xf numFmtId="0" fontId="25" fillId="12" borderId="5" xfId="3" applyFont="1" applyFill="1" applyBorder="1" applyAlignment="1" applyProtection="1">
      <alignment vertical="center"/>
      <protection locked="0"/>
    </xf>
    <xf numFmtId="0" fontId="25" fillId="13" borderId="5" xfId="3" applyFont="1" applyFill="1" applyBorder="1" applyAlignment="1">
      <alignment horizontal="left" vertical="center"/>
    </xf>
    <xf numFmtId="0" fontId="25" fillId="14" borderId="5" xfId="3" applyFont="1" applyFill="1" applyBorder="1" applyAlignment="1">
      <alignment horizontal="left" vertical="center"/>
    </xf>
    <xf numFmtId="0" fontId="25" fillId="20" borderId="5" xfId="3" applyFont="1" applyFill="1" applyBorder="1" applyAlignment="1">
      <alignment horizontal="left" vertical="center"/>
    </xf>
    <xf numFmtId="0" fontId="25" fillId="20" borderId="5" xfId="3" applyFont="1" applyFill="1" applyBorder="1" applyAlignment="1" applyProtection="1">
      <alignment horizontal="left" vertical="center"/>
      <protection locked="0"/>
    </xf>
    <xf numFmtId="0" fontId="48" fillId="20" borderId="5" xfId="3" applyFont="1" applyFill="1" applyBorder="1" applyAlignment="1">
      <alignment horizontal="left" vertical="center"/>
    </xf>
    <xf numFmtId="0" fontId="25" fillId="14" borderId="5" xfId="3" applyFont="1" applyFill="1" applyBorder="1" applyAlignment="1" applyProtection="1">
      <alignment horizontal="left" vertical="center"/>
      <protection locked="0"/>
    </xf>
    <xf numFmtId="0" fontId="48" fillId="20" borderId="5" xfId="3" applyFont="1" applyFill="1" applyBorder="1" applyAlignment="1" applyProtection="1">
      <alignment horizontal="left" vertical="center"/>
      <protection locked="0"/>
    </xf>
    <xf numFmtId="0" fontId="25" fillId="9" borderId="5" xfId="3" applyFont="1" applyFill="1" applyBorder="1" applyAlignment="1" applyProtection="1">
      <alignment vertical="center"/>
      <protection locked="0"/>
    </xf>
    <xf numFmtId="0" fontId="25" fillId="11" borderId="5" xfId="3" applyFont="1" applyFill="1" applyBorder="1" applyAlignment="1" applyProtection="1">
      <alignment vertical="center"/>
      <protection locked="0"/>
    </xf>
    <xf numFmtId="0" fontId="49" fillId="9" borderId="5" xfId="3" applyFont="1" applyFill="1" applyBorder="1" applyAlignment="1">
      <alignment horizontal="left" vertical="center"/>
    </xf>
    <xf numFmtId="0" fontId="25" fillId="14" borderId="5" xfId="3" applyFont="1" applyFill="1" applyBorder="1" applyAlignment="1" applyProtection="1">
      <alignment vertical="center"/>
      <protection locked="0"/>
    </xf>
    <xf numFmtId="0" fontId="48" fillId="9" borderId="5" xfId="3" applyFont="1" applyFill="1" applyBorder="1" applyAlignment="1" applyProtection="1">
      <alignment horizontal="left" vertical="center"/>
      <protection locked="0"/>
    </xf>
    <xf numFmtId="0" fontId="25" fillId="20" borderId="5" xfId="3" applyFont="1" applyFill="1" applyBorder="1" applyAlignment="1" applyProtection="1">
      <alignment vertical="center"/>
      <protection locked="0"/>
    </xf>
    <xf numFmtId="0" fontId="25" fillId="10" borderId="5" xfId="3" applyFont="1" applyFill="1" applyBorder="1" applyAlignment="1">
      <alignment vertical="center"/>
    </xf>
    <xf numFmtId="0" fontId="48" fillId="7" borderId="5" xfId="3" applyFont="1" applyFill="1" applyBorder="1" applyAlignment="1">
      <alignment horizontal="left" vertical="center"/>
    </xf>
    <xf numFmtId="0" fontId="48" fillId="11" borderId="5" xfId="3" applyFont="1" applyFill="1" applyBorder="1" applyAlignment="1">
      <alignment horizontal="left" vertical="center"/>
    </xf>
    <xf numFmtId="0" fontId="25" fillId="10" borderId="5" xfId="3" applyFont="1" applyFill="1" applyBorder="1" applyAlignment="1">
      <alignment horizontal="left" vertical="center" wrapText="1"/>
    </xf>
    <xf numFmtId="0" fontId="26" fillId="11" borderId="5" xfId="3" applyFont="1" applyFill="1" applyBorder="1" applyAlignment="1" applyProtection="1">
      <alignment vertical="center"/>
      <protection locked="0"/>
    </xf>
    <xf numFmtId="0" fontId="26" fillId="14" borderId="5" xfId="3" applyFont="1" applyFill="1" applyBorder="1" applyAlignment="1" applyProtection="1">
      <alignment vertical="center"/>
      <protection locked="0"/>
    </xf>
    <xf numFmtId="0" fontId="26" fillId="20" borderId="5" xfId="3" applyFont="1" applyFill="1" applyBorder="1" applyAlignment="1" applyProtection="1">
      <alignment vertical="center"/>
      <protection locked="0"/>
    </xf>
    <xf numFmtId="0" fontId="26" fillId="9" borderId="5" xfId="3" applyFont="1" applyFill="1" applyBorder="1" applyAlignment="1" applyProtection="1">
      <alignment vertical="center"/>
      <protection locked="0"/>
    </xf>
    <xf numFmtId="0" fontId="26" fillId="7" borderId="5" xfId="3" applyFont="1" applyFill="1" applyBorder="1" applyAlignment="1" applyProtection="1">
      <alignment vertical="center"/>
      <protection locked="0"/>
    </xf>
    <xf numFmtId="0" fontId="48" fillId="12" borderId="5" xfId="3" applyFont="1" applyFill="1" applyBorder="1" applyAlignment="1" applyProtection="1">
      <alignment vertical="center"/>
      <protection locked="0"/>
    </xf>
    <xf numFmtId="0" fontId="26" fillId="8" borderId="5" xfId="3" applyFont="1" applyFill="1" applyBorder="1" applyAlignment="1" applyProtection="1">
      <alignment vertical="center"/>
      <protection locked="0"/>
    </xf>
    <xf numFmtId="0" fontId="26" fillId="6" borderId="5" xfId="3" applyFont="1" applyFill="1" applyBorder="1" applyAlignment="1" applyProtection="1">
      <alignment vertical="center"/>
      <protection locked="0"/>
    </xf>
    <xf numFmtId="0" fontId="1" fillId="2" borderId="0" xfId="3" applyFill="1" applyBorder="1" applyAlignment="1">
      <alignment horizontal="left" vertical="center"/>
    </xf>
    <xf numFmtId="0" fontId="24" fillId="2" borderId="0" xfId="3" applyFont="1" applyFill="1" applyBorder="1" applyAlignment="1">
      <alignment horizontal="center" vertical="center"/>
    </xf>
    <xf numFmtId="0" fontId="26" fillId="2" borderId="5" xfId="3" applyFont="1" applyFill="1" applyBorder="1" applyAlignment="1">
      <alignment horizontal="left" vertical="center"/>
    </xf>
    <xf numFmtId="0" fontId="24" fillId="2" borderId="5" xfId="3" applyFont="1" applyFill="1" applyBorder="1" applyAlignment="1">
      <alignment horizontal="left" vertical="center"/>
    </xf>
    <xf numFmtId="2" fontId="26" fillId="2" borderId="5" xfId="3" applyNumberFormat="1" applyFont="1" applyFill="1" applyBorder="1" applyAlignment="1">
      <alignment horizontal="left" vertical="center"/>
    </xf>
    <xf numFmtId="0" fontId="24" fillId="2" borderId="5" xfId="3" applyFont="1" applyFill="1" applyBorder="1" applyAlignment="1">
      <alignment horizontal="center" vertical="center"/>
    </xf>
    <xf numFmtId="0" fontId="51" fillId="15" borderId="16" xfId="0" applyFont="1" applyFill="1" applyBorder="1" applyAlignment="1">
      <alignment horizontal="center" vertical="center"/>
    </xf>
    <xf numFmtId="0" fontId="51" fillId="15" borderId="3" xfId="0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 wrapText="1"/>
    </xf>
    <xf numFmtId="0" fontId="51" fillId="15" borderId="7" xfId="0" applyFont="1" applyFill="1" applyBorder="1" applyAlignment="1">
      <alignment horizontal="center" vertical="center"/>
    </xf>
    <xf numFmtId="164" fontId="18" fillId="0" borderId="5" xfId="0" applyNumberFormat="1" applyFont="1" applyBorder="1" applyAlignment="1" applyProtection="1">
      <alignment horizontal="center" vertical="center" wrapText="1"/>
      <protection locked="0"/>
    </xf>
    <xf numFmtId="1" fontId="18" fillId="0" borderId="20" xfId="0" applyNumberFormat="1" applyFont="1" applyBorder="1" applyAlignment="1" applyProtection="1">
      <alignment horizontal="center" vertical="center" wrapText="1"/>
      <protection locked="0"/>
    </xf>
    <xf numFmtId="0" fontId="9" fillId="0" borderId="5" xfId="0" applyNumberFormat="1" applyFont="1" applyBorder="1" applyAlignment="1" applyProtection="1">
      <alignment horizontal="center" vertical="center" wrapText="1"/>
    </xf>
    <xf numFmtId="0" fontId="18" fillId="0" borderId="5" xfId="0" applyNumberFormat="1" applyFont="1" applyBorder="1" applyAlignment="1" applyProtection="1">
      <alignment horizontal="center" vertical="center" wrapText="1"/>
      <protection locked="0"/>
    </xf>
    <xf numFmtId="0" fontId="6" fillId="19" borderId="5" xfId="0" applyNumberFormat="1" applyFont="1" applyFill="1" applyBorder="1" applyAlignment="1" applyProtection="1">
      <alignment vertical="center" wrapText="1"/>
    </xf>
    <xf numFmtId="0" fontId="18" fillId="0" borderId="5" xfId="3" applyFont="1" applyFill="1" applyBorder="1" applyAlignment="1" applyProtection="1">
      <alignment horizontal="center" vertical="center" wrapText="1"/>
      <protection locked="0"/>
    </xf>
    <xf numFmtId="0" fontId="27" fillId="15" borderId="1" xfId="0" applyFont="1" applyFill="1" applyBorder="1" applyAlignment="1" applyProtection="1">
      <alignment vertical="center" wrapText="1"/>
    </xf>
    <xf numFmtId="0" fontId="27" fillId="15" borderId="3" xfId="0" applyFont="1" applyFill="1" applyBorder="1" applyAlignment="1" applyProtection="1">
      <alignment vertical="center" wrapText="1"/>
    </xf>
    <xf numFmtId="0" fontId="29" fillId="15" borderId="4" xfId="0" applyFont="1" applyFill="1" applyBorder="1" applyAlignment="1" applyProtection="1">
      <alignment vertical="center" wrapText="1"/>
    </xf>
    <xf numFmtId="0" fontId="18" fillId="0" borderId="5" xfId="0" applyFont="1" applyBorder="1" applyAlignment="1" applyProtection="1">
      <alignment vertical="center" wrapText="1"/>
      <protection locked="0"/>
    </xf>
    <xf numFmtId="0" fontId="18" fillId="18" borderId="8" xfId="0" applyFont="1" applyFill="1" applyBorder="1" applyAlignment="1" applyProtection="1">
      <alignment vertical="center" wrapText="1"/>
    </xf>
    <xf numFmtId="0" fontId="14" fillId="0" borderId="5" xfId="0" applyFont="1" applyBorder="1" applyAlignment="1" applyProtection="1">
      <alignment vertical="center" wrapText="1"/>
    </xf>
    <xf numFmtId="0" fontId="3" fillId="0" borderId="5" xfId="0" applyFont="1" applyBorder="1" applyAlignment="1" applyProtection="1">
      <alignment vertical="center" wrapText="1"/>
    </xf>
    <xf numFmtId="0" fontId="16" fillId="0" borderId="2" xfId="0" applyFont="1" applyBorder="1" applyAlignment="1" applyProtection="1">
      <alignment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16" fillId="2" borderId="42" xfId="0" applyFont="1" applyFill="1" applyBorder="1" applyAlignment="1">
      <alignment horizontal="left" vertical="center" wrapText="1"/>
    </xf>
    <xf numFmtId="0" fontId="16" fillId="2" borderId="0" xfId="0" applyFont="1" applyFill="1" applyAlignment="1" applyProtection="1">
      <alignment horizontal="left" vertical="center" wrapText="1"/>
    </xf>
    <xf numFmtId="0" fontId="30" fillId="18" borderId="10" xfId="0" applyFont="1" applyFill="1" applyBorder="1" applyAlignment="1" applyProtection="1">
      <alignment horizontal="center" vertical="center" wrapText="1"/>
    </xf>
    <xf numFmtId="0" fontId="30" fillId="18" borderId="12" xfId="0" applyFont="1" applyFill="1" applyBorder="1" applyAlignment="1" applyProtection="1">
      <alignment horizontal="center" vertical="center" wrapText="1"/>
    </xf>
    <xf numFmtId="0" fontId="30" fillId="18" borderId="11" xfId="0" applyFont="1" applyFill="1" applyBorder="1" applyAlignment="1" applyProtection="1">
      <alignment horizontal="center" vertical="center" wrapText="1"/>
    </xf>
    <xf numFmtId="0" fontId="27" fillId="16" borderId="1" xfId="4" applyFont="1" applyFill="1" applyBorder="1" applyAlignment="1" applyProtection="1">
      <alignment horizontal="center" vertical="center" wrapText="1"/>
    </xf>
    <xf numFmtId="0" fontId="27" fillId="16" borderId="4" xfId="4" applyFont="1" applyFill="1" applyBorder="1" applyAlignment="1" applyProtection="1">
      <alignment horizontal="center" vertical="center" wrapText="1"/>
    </xf>
    <xf numFmtId="0" fontId="27" fillId="16" borderId="2" xfId="4" applyFont="1" applyFill="1" applyBorder="1" applyAlignment="1" applyProtection="1">
      <alignment horizontal="center" vertical="center" wrapText="1"/>
    </xf>
    <xf numFmtId="0" fontId="23" fillId="2" borderId="0" xfId="3" applyFont="1" applyFill="1" applyAlignment="1">
      <alignment horizontal="center" vertical="center"/>
    </xf>
    <xf numFmtId="0" fontId="18" fillId="0" borderId="5" xfId="2" quotePrefix="1" applyFont="1" applyBorder="1" applyAlignment="1">
      <alignment horizontal="center" vertical="center" wrapText="1"/>
    </xf>
    <xf numFmtId="0" fontId="18" fillId="0" borderId="6" xfId="2" quotePrefix="1" applyFont="1" applyBorder="1" applyAlignment="1">
      <alignment horizontal="center" vertical="center" wrapText="1"/>
    </xf>
    <xf numFmtId="0" fontId="18" fillId="0" borderId="8" xfId="2" quotePrefix="1" applyFont="1" applyBorder="1" applyAlignment="1">
      <alignment horizontal="center" vertical="center" wrapText="1"/>
    </xf>
    <xf numFmtId="0" fontId="18" fillId="0" borderId="9" xfId="2" quotePrefix="1" applyFont="1" applyBorder="1" applyAlignment="1">
      <alignment horizontal="center" vertical="center" wrapText="1"/>
    </xf>
    <xf numFmtId="0" fontId="50" fillId="15" borderId="1" xfId="0" applyFont="1" applyFill="1" applyBorder="1" applyAlignment="1">
      <alignment horizontal="center" vertical="center"/>
    </xf>
    <xf numFmtId="0" fontId="50" fillId="15" borderId="4" xfId="0" applyFont="1" applyFill="1" applyBorder="1" applyAlignment="1">
      <alignment horizontal="center" vertical="center"/>
    </xf>
    <xf numFmtId="0" fontId="50" fillId="15" borderId="2" xfId="0" applyFont="1" applyFill="1" applyBorder="1" applyAlignment="1">
      <alignment horizontal="center" vertical="center"/>
    </xf>
    <xf numFmtId="0" fontId="50" fillId="15" borderId="7" xfId="0" applyFont="1" applyFill="1" applyBorder="1" applyAlignment="1">
      <alignment horizontal="center" vertical="center"/>
    </xf>
    <xf numFmtId="0" fontId="50" fillId="15" borderId="8" xfId="0" applyFont="1" applyFill="1" applyBorder="1" applyAlignment="1">
      <alignment horizontal="center" vertical="center"/>
    </xf>
    <xf numFmtId="0" fontId="50" fillId="15" borderId="9" xfId="0" applyFont="1" applyFill="1" applyBorder="1" applyAlignment="1">
      <alignment horizontal="center" vertical="center"/>
    </xf>
    <xf numFmtId="0" fontId="18" fillId="0" borderId="24" xfId="2" quotePrefix="1" applyFont="1" applyBorder="1" applyAlignment="1">
      <alignment horizontal="center" vertical="center" wrapText="1"/>
    </xf>
    <xf numFmtId="0" fontId="18" fillId="0" borderId="17" xfId="2" quotePrefix="1" applyFont="1" applyBorder="1" applyAlignment="1">
      <alignment horizontal="center" vertical="center" wrapText="1"/>
    </xf>
    <xf numFmtId="49" fontId="47" fillId="0" borderId="5" xfId="2" quotePrefix="1" applyNumberFormat="1" applyFont="1" applyBorder="1" applyAlignment="1">
      <alignment horizontal="center" vertical="center"/>
    </xf>
    <xf numFmtId="49" fontId="47" fillId="0" borderId="5" xfId="2" applyNumberFormat="1" applyFont="1" applyBorder="1" applyAlignment="1">
      <alignment horizontal="center" vertical="center"/>
    </xf>
    <xf numFmtId="0" fontId="8" fillId="20" borderId="5" xfId="2" applyFont="1" applyFill="1" applyBorder="1" applyAlignment="1">
      <alignment horizontal="center" vertical="center" wrapText="1"/>
    </xf>
    <xf numFmtId="0" fontId="8" fillId="20" borderId="5" xfId="2" applyFont="1" applyFill="1" applyBorder="1" applyAlignment="1">
      <alignment horizontal="center" vertical="center"/>
    </xf>
    <xf numFmtId="0" fontId="6" fillId="0" borderId="5" xfId="2" applyFont="1" applyBorder="1" applyAlignment="1">
      <alignment horizontal="center" vertical="center" wrapText="1"/>
    </xf>
    <xf numFmtId="0" fontId="8" fillId="12" borderId="5" xfId="2" applyFont="1" applyFill="1" applyBorder="1" applyAlignment="1">
      <alignment horizontal="center" vertical="center" wrapText="1"/>
    </xf>
    <xf numFmtId="0" fontId="8" fillId="12" borderId="5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 wrapText="1"/>
    </xf>
    <xf numFmtId="0" fontId="8" fillId="3" borderId="5" xfId="2" applyFont="1" applyFill="1" applyBorder="1" applyAlignment="1">
      <alignment horizontal="center" vertical="center"/>
    </xf>
    <xf numFmtId="0" fontId="46" fillId="18" borderId="5" xfId="2" applyFont="1" applyFill="1" applyBorder="1" applyAlignment="1">
      <alignment horizontal="center"/>
    </xf>
    <xf numFmtId="0" fontId="8" fillId="6" borderId="5" xfId="2" applyFont="1" applyFill="1" applyBorder="1" applyAlignment="1">
      <alignment horizontal="center" vertical="center" wrapText="1"/>
    </xf>
    <xf numFmtId="0" fontId="8" fillId="6" borderId="5" xfId="2" applyFont="1" applyFill="1" applyBorder="1" applyAlignment="1">
      <alignment horizontal="center" vertical="center"/>
    </xf>
    <xf numFmtId="0" fontId="3" fillId="0" borderId="35" xfId="2" applyFont="1" applyBorder="1" applyAlignment="1">
      <alignment horizontal="center" vertical="center" wrapText="1"/>
    </xf>
    <xf numFmtId="0" fontId="3" fillId="0" borderId="38" xfId="2" applyFont="1" applyBorder="1" applyAlignment="1">
      <alignment horizontal="center" vertical="center" wrapText="1"/>
    </xf>
    <xf numFmtId="0" fontId="10" fillId="2" borderId="33" xfId="2" applyFont="1" applyFill="1" applyBorder="1" applyAlignment="1">
      <alignment horizontal="center" vertical="center" wrapText="1"/>
    </xf>
    <xf numFmtId="0" fontId="10" fillId="2" borderId="15" xfId="2" applyFont="1" applyFill="1" applyBorder="1" applyAlignment="1">
      <alignment horizontal="center" vertical="center" wrapText="1"/>
    </xf>
    <xf numFmtId="0" fontId="3" fillId="0" borderId="33" xfId="2" quotePrefix="1" applyFont="1" applyBorder="1" applyAlignment="1">
      <alignment horizontal="center" vertical="center" wrapText="1"/>
    </xf>
    <xf numFmtId="0" fontId="3" fillId="0" borderId="15" xfId="2" quotePrefix="1" applyFont="1" applyBorder="1" applyAlignment="1">
      <alignment horizontal="center" vertical="center" wrapText="1"/>
    </xf>
    <xf numFmtId="0" fontId="3" fillId="0" borderId="41" xfId="2" applyFont="1" applyBorder="1" applyAlignment="1">
      <alignment horizontal="center" vertical="center" wrapText="1"/>
    </xf>
    <xf numFmtId="0" fontId="39" fillId="15" borderId="22" xfId="0" applyFont="1" applyFill="1" applyBorder="1" applyAlignment="1">
      <alignment horizontal="center" vertical="center" textRotation="90"/>
    </xf>
    <xf numFmtId="0" fontId="39" fillId="15" borderId="23" xfId="0" applyFont="1" applyFill="1" applyBorder="1" applyAlignment="1">
      <alignment horizontal="center" vertical="center" textRotation="90"/>
    </xf>
    <xf numFmtId="0" fontId="39" fillId="15" borderId="25" xfId="0" applyFont="1" applyFill="1" applyBorder="1" applyAlignment="1">
      <alignment horizontal="center" vertical="center" textRotation="90"/>
    </xf>
    <xf numFmtId="0" fontId="10" fillId="2" borderId="14" xfId="2" applyFont="1" applyFill="1" applyBorder="1" applyAlignment="1">
      <alignment horizontal="center" vertical="center" wrapText="1"/>
    </xf>
    <xf numFmtId="0" fontId="10" fillId="2" borderId="24" xfId="2" applyFont="1" applyFill="1" applyBorder="1" applyAlignment="1">
      <alignment horizontal="center" vertical="center" wrapText="1"/>
    </xf>
    <xf numFmtId="0" fontId="3" fillId="0" borderId="33" xfId="2" applyFont="1" applyBorder="1" applyAlignment="1">
      <alignment horizontal="center" vertical="center" wrapText="1"/>
    </xf>
    <xf numFmtId="0" fontId="3" fillId="0" borderId="36" xfId="2" applyFont="1" applyBorder="1" applyAlignment="1">
      <alignment horizontal="center" vertical="center" wrapText="1"/>
    </xf>
    <xf numFmtId="0" fontId="10" fillId="2" borderId="36" xfId="2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63CA749E-39EE-4BE1-A16D-2585A32999FD}"/>
    <cellStyle name="Normal 2 2" xfId="2" xr:uid="{7C2CDB8E-E370-4FA8-9905-6032A06A13CF}"/>
    <cellStyle name="Normal 4 2" xfId="3" xr:uid="{3043C9D8-F81F-4DF2-9E22-C6622C8C22AD}"/>
    <cellStyle name="Normal 5" xfId="4" xr:uid="{D23E1725-1896-45A2-82DA-8E0C09C57741}"/>
  </cellStyles>
  <dxfs count="1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rgb="FFFEDA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[$-409]d/mmm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1" hidden="0"/>
    </dxf>
    <dxf>
      <protection locked="1" hidden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>
          <bgColor indexed="10"/>
        </patternFill>
      </fill>
    </dxf>
    <dxf>
      <fill>
        <patternFill>
          <bgColor indexed="14"/>
        </patternFill>
      </fill>
    </dxf>
    <dxf>
      <fill>
        <patternFill>
          <bgColor indexed="13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4"/>
        </patternFill>
      </fill>
    </dxf>
    <dxf>
      <fill>
        <patternFill>
          <bgColor indexed="13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fgColor indexed="64"/>
          <bgColor rgb="FFFEDA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[$-409]d/mmm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EDA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top style="medium">
          <color indexed="64"/>
        </top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protection locked="1" hidden="0"/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</dxfs>
  <tableStyles count="1" defaultTableStyle="TableStyleMedium2" defaultPivotStyle="PivotStyleLight16">
    <tableStyle name="Table Style 1" pivot="0" count="0" xr9:uid="{D0ECE26C-E907-4C3E-8807-425D2666BE32}"/>
  </tableStyles>
  <colors>
    <mruColors>
      <color rgb="FFFFD45B"/>
      <color rgb="FF004EA8"/>
      <color rgb="FFFE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1370670</xdr:colOff>
      <xdr:row>96</xdr:row>
      <xdr:rowOff>0</xdr:rowOff>
    </xdr:from>
    <xdr:to>
      <xdr:col>22</xdr:col>
      <xdr:colOff>7106</xdr:colOff>
      <xdr:row>108</xdr:row>
      <xdr:rowOff>110565</xdr:rowOff>
    </xdr:to>
    <xdr:pic>
      <xdr:nvPicPr>
        <xdr:cNvPr id="2" name="Picture 488" descr="DSC06006 (Small)">
          <a:extLst>
            <a:ext uri="{FF2B5EF4-FFF2-40B4-BE49-F238E27FC236}">
              <a16:creationId xmlns:a16="http://schemas.microsoft.com/office/drawing/2014/main" id="{22EADC4F-82FD-4B0E-A4BE-F62CEA7C2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69770" y="29117925"/>
          <a:ext cx="930" cy="235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1370670</xdr:colOff>
      <xdr:row>96</xdr:row>
      <xdr:rowOff>0</xdr:rowOff>
    </xdr:from>
    <xdr:to>
      <xdr:col>22</xdr:col>
      <xdr:colOff>7106</xdr:colOff>
      <xdr:row>108</xdr:row>
      <xdr:rowOff>75731</xdr:rowOff>
    </xdr:to>
    <xdr:pic>
      <xdr:nvPicPr>
        <xdr:cNvPr id="3" name="Picture 488" descr="DSC06006 (Small)">
          <a:extLst>
            <a:ext uri="{FF2B5EF4-FFF2-40B4-BE49-F238E27FC236}">
              <a16:creationId xmlns:a16="http://schemas.microsoft.com/office/drawing/2014/main" id="{1FA28610-9563-4D8E-BA4D-496C27260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69770" y="29117925"/>
          <a:ext cx="930" cy="2323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1370670</xdr:colOff>
      <xdr:row>96</xdr:row>
      <xdr:rowOff>0</xdr:rowOff>
    </xdr:from>
    <xdr:to>
      <xdr:col>22</xdr:col>
      <xdr:colOff>7106</xdr:colOff>
      <xdr:row>112</xdr:row>
      <xdr:rowOff>111220</xdr:rowOff>
    </xdr:to>
    <xdr:pic>
      <xdr:nvPicPr>
        <xdr:cNvPr id="4" name="Picture 488" descr="DSC06006 (Small)">
          <a:extLst>
            <a:ext uri="{FF2B5EF4-FFF2-40B4-BE49-F238E27FC236}">
              <a16:creationId xmlns:a16="http://schemas.microsoft.com/office/drawing/2014/main" id="{92786259-9EF7-4FC4-AEEA-494723FF8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69770" y="29117925"/>
          <a:ext cx="930" cy="30068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313573</xdr:colOff>
      <xdr:row>0</xdr:row>
      <xdr:rowOff>38101</xdr:rowOff>
    </xdr:from>
    <xdr:to>
      <xdr:col>30</xdr:col>
      <xdr:colOff>313</xdr:colOff>
      <xdr:row>4</xdr:row>
      <xdr:rowOff>413605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20D61C-ACEC-404A-BC68-B69C42247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74448" y="38101"/>
          <a:ext cx="6030390" cy="1442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285738</xdr:colOff>
      <xdr:row>0</xdr:row>
      <xdr:rowOff>60797</xdr:rowOff>
    </xdr:from>
    <xdr:to>
      <xdr:col>12</xdr:col>
      <xdr:colOff>1033159</xdr:colOff>
      <xdr:row>4</xdr:row>
      <xdr:rowOff>483880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DB535B-A14B-4E33-BD8B-A69CAAB2B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63" y="60797"/>
          <a:ext cx="9319921" cy="1489883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276225</xdr:colOff>
      <xdr:row>6</xdr:row>
      <xdr:rowOff>47625</xdr:rowOff>
    </xdr:from>
    <xdr:to>
      <xdr:col>12</xdr:col>
      <xdr:colOff>1024125</xdr:colOff>
      <xdr:row>11</xdr:row>
      <xdr:rowOff>147726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84A200B-1CC6-4183-B83F-C8BBDB149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9150" y="2133600"/>
          <a:ext cx="9320400" cy="1547901"/>
        </a:xfrm>
        <a:prstGeom prst="rect">
          <a:avLst/>
        </a:prstGeom>
      </xdr:spPr>
    </xdr:pic>
    <xdr:clientData/>
  </xdr:twoCellAnchor>
  <xdr:twoCellAnchor editAs="oneCell">
    <xdr:from>
      <xdr:col>12</xdr:col>
      <xdr:colOff>1355182</xdr:colOff>
      <xdr:row>0</xdr:row>
      <xdr:rowOff>69694</xdr:rowOff>
    </xdr:from>
    <xdr:to>
      <xdr:col>19</xdr:col>
      <xdr:colOff>643988</xdr:colOff>
      <xdr:row>10</xdr:row>
      <xdr:rowOff>2200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1A99E0-548C-4A7C-9A43-24390C1C9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0607" y="69694"/>
          <a:ext cx="7842256" cy="3180531"/>
        </a:xfrm>
        <a:prstGeom prst="rect">
          <a:avLst/>
        </a:prstGeom>
      </xdr:spPr>
    </xdr:pic>
    <xdr:clientData/>
  </xdr:twoCellAnchor>
  <xdr:twoCellAnchor editAs="oneCell">
    <xdr:from>
      <xdr:col>20</xdr:col>
      <xdr:colOff>302559</xdr:colOff>
      <xdr:row>5</xdr:row>
      <xdr:rowOff>224117</xdr:rowOff>
    </xdr:from>
    <xdr:to>
      <xdr:col>29</xdr:col>
      <xdr:colOff>1122229</xdr:colOff>
      <xdr:row>11</xdr:row>
      <xdr:rowOff>127296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3AC0CEA-09EF-4150-B2B7-D5AE4444B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63434" y="2024342"/>
          <a:ext cx="6029845" cy="1636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1370670</xdr:colOff>
      <xdr:row>96</xdr:row>
      <xdr:rowOff>0</xdr:rowOff>
    </xdr:from>
    <xdr:to>
      <xdr:col>22</xdr:col>
      <xdr:colOff>7106</xdr:colOff>
      <xdr:row>108</xdr:row>
      <xdr:rowOff>110565</xdr:rowOff>
    </xdr:to>
    <xdr:pic>
      <xdr:nvPicPr>
        <xdr:cNvPr id="2" name="Picture 488" descr="DSC06006 (Small)">
          <a:extLst>
            <a:ext uri="{FF2B5EF4-FFF2-40B4-BE49-F238E27FC236}">
              <a16:creationId xmlns:a16="http://schemas.microsoft.com/office/drawing/2014/main" id="{184FF11B-F4E1-41AE-A778-8DFB1358B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94575" y="17811750"/>
          <a:ext cx="0" cy="1952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1370670</xdr:colOff>
      <xdr:row>96</xdr:row>
      <xdr:rowOff>0</xdr:rowOff>
    </xdr:from>
    <xdr:to>
      <xdr:col>22</xdr:col>
      <xdr:colOff>7106</xdr:colOff>
      <xdr:row>108</xdr:row>
      <xdr:rowOff>75731</xdr:rowOff>
    </xdr:to>
    <xdr:pic>
      <xdr:nvPicPr>
        <xdr:cNvPr id="3" name="Picture 488" descr="DSC06006 (Small)">
          <a:extLst>
            <a:ext uri="{FF2B5EF4-FFF2-40B4-BE49-F238E27FC236}">
              <a16:creationId xmlns:a16="http://schemas.microsoft.com/office/drawing/2014/main" id="{7E42138D-EAAB-47B8-93E8-27135F981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94575" y="17811750"/>
          <a:ext cx="0" cy="19235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1370670</xdr:colOff>
      <xdr:row>96</xdr:row>
      <xdr:rowOff>0</xdr:rowOff>
    </xdr:from>
    <xdr:to>
      <xdr:col>22</xdr:col>
      <xdr:colOff>7106</xdr:colOff>
      <xdr:row>112</xdr:row>
      <xdr:rowOff>111219</xdr:rowOff>
    </xdr:to>
    <xdr:pic>
      <xdr:nvPicPr>
        <xdr:cNvPr id="4" name="Picture 488" descr="DSC06006 (Small)">
          <a:extLst>
            <a:ext uri="{FF2B5EF4-FFF2-40B4-BE49-F238E27FC236}">
              <a16:creationId xmlns:a16="http://schemas.microsoft.com/office/drawing/2014/main" id="{35E617A3-DEE4-4180-BCFD-4ECEA9B73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94575" y="17811750"/>
          <a:ext cx="0" cy="2629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313573</xdr:colOff>
      <xdr:row>0</xdr:row>
      <xdr:rowOff>38101</xdr:rowOff>
    </xdr:from>
    <xdr:to>
      <xdr:col>30</xdr:col>
      <xdr:colOff>313</xdr:colOff>
      <xdr:row>4</xdr:row>
      <xdr:rowOff>413605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6EA4897-BE13-EE90-4E56-220EDBD46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83973" y="38101"/>
          <a:ext cx="6020461" cy="1474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285738</xdr:colOff>
      <xdr:row>0</xdr:row>
      <xdr:rowOff>60797</xdr:rowOff>
    </xdr:from>
    <xdr:to>
      <xdr:col>12</xdr:col>
      <xdr:colOff>1033159</xdr:colOff>
      <xdr:row>4</xdr:row>
      <xdr:rowOff>483880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1186BB2-9EAD-7D4B-6F56-553DE4D3B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63" y="60797"/>
          <a:ext cx="9319921" cy="1484280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276225</xdr:colOff>
      <xdr:row>6</xdr:row>
      <xdr:rowOff>47625</xdr:rowOff>
    </xdr:from>
    <xdr:to>
      <xdr:col>12</xdr:col>
      <xdr:colOff>1024125</xdr:colOff>
      <xdr:row>11</xdr:row>
      <xdr:rowOff>147726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1300901-04DA-9960-0BC1-C4FE26131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9150" y="1685925"/>
          <a:ext cx="9320400" cy="1545995"/>
        </a:xfrm>
        <a:prstGeom prst="rect">
          <a:avLst/>
        </a:prstGeom>
      </xdr:spPr>
    </xdr:pic>
    <xdr:clientData/>
  </xdr:twoCellAnchor>
  <xdr:twoCellAnchor editAs="oneCell">
    <xdr:from>
      <xdr:col>12</xdr:col>
      <xdr:colOff>1355182</xdr:colOff>
      <xdr:row>0</xdr:row>
      <xdr:rowOff>69694</xdr:rowOff>
    </xdr:from>
    <xdr:to>
      <xdr:col>19</xdr:col>
      <xdr:colOff>643988</xdr:colOff>
      <xdr:row>10</xdr:row>
      <xdr:rowOff>2200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FB91701-5FB5-5646-FF4D-4ACF7486E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5370" y="69694"/>
          <a:ext cx="7849399" cy="3173808"/>
        </a:xfrm>
        <a:prstGeom prst="rect">
          <a:avLst/>
        </a:prstGeom>
      </xdr:spPr>
    </xdr:pic>
    <xdr:clientData/>
  </xdr:twoCellAnchor>
  <xdr:twoCellAnchor editAs="oneCell">
    <xdr:from>
      <xdr:col>20</xdr:col>
      <xdr:colOff>302559</xdr:colOff>
      <xdr:row>5</xdr:row>
      <xdr:rowOff>224117</xdr:rowOff>
    </xdr:from>
    <xdr:to>
      <xdr:col>29</xdr:col>
      <xdr:colOff>1122229</xdr:colOff>
      <xdr:row>11</xdr:row>
      <xdr:rowOff>127296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3722D68-BCEC-4FC1-BFB9-C63DA0900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66235" y="1602441"/>
          <a:ext cx="6019200" cy="1662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nger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odyearcorp.sharepoint.com/sites/Lux-TirePlant/EHS/EHS%20Folder/Risk%20assessments%20-%20DRA%20-%20MOC/JRA%20&amp;%20Heatmap/TirePlant%20JRA.xlsm" TargetMode="External"/><Relationship Id="rId1" Type="http://schemas.openxmlformats.org/officeDocument/2006/relationships/externalLinkPath" Target="/sites/Lux-TirePlant/EHS/EHS%20Folder/Risk%20assessments%20-%20DRA%20-%20MOC/JRA%20&amp;%20Heatmap/TirePlant%20JR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er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atmap"/>
      <sheetName val="summary"/>
      <sheetName val="Rating"/>
      <sheetName val="Template"/>
      <sheetName val="Hazards"/>
      <sheetName val="Hazard Source"/>
      <sheetName val="MP_10in_Booker"/>
      <sheetName val="MP_10in_MillMan"/>
      <sheetName val="MP_10in_MainOp"/>
      <sheetName val="MP_10in_ServiceMen"/>
      <sheetName val="MP_4R1A"/>
      <sheetName val="MP_4R1B_Millman"/>
      <sheetName val="MP_4R1B_Booker"/>
      <sheetName val="MP_4R1B_MainOp"/>
      <sheetName val="MP_8in_booker"/>
      <sheetName val="MP_8in_MainOp"/>
      <sheetName val="MP_8in_millman"/>
      <sheetName val="MP_8in_ServiceMen"/>
      <sheetName val="MP_AlphaShear"/>
      <sheetName val="MP_BB1_Laydown"/>
      <sheetName val="MP_BB1_Laydown new"/>
      <sheetName val="MP_BB1_MillMan"/>
      <sheetName val="MP_BB1_MillMan_new"/>
      <sheetName val="MP_BB1_Trucker"/>
      <sheetName val="MP_BB1_Trucker_new"/>
      <sheetName val="MP_BB2_Laydown"/>
      <sheetName val="MP_BB2_Laydown (new)"/>
      <sheetName val="MP_BB2_RollerDieMan"/>
      <sheetName val="MP_BB2_RollerDieMan (new)"/>
      <sheetName val="MP_BB2_Trucker"/>
      <sheetName val="MP_BB2_Trucker (new)"/>
      <sheetName val="MP_BB3_Laydown"/>
      <sheetName val="MP_BB3_Laydown (new)"/>
      <sheetName val="MP_BB3_Millman"/>
      <sheetName val="MP_BB3_Millman (new)"/>
      <sheetName val="MP_BB3_Trucker"/>
      <sheetName val="MP_BB4_Laydown"/>
      <sheetName val="MP_BB4_RollerDieMan"/>
      <sheetName val="MP_BB4_Trucker"/>
      <sheetName val="MP_BB5_Laydown"/>
      <sheetName val="MP_BB6_Laydown"/>
      <sheetName val="MP_BB5_6_RollerDieMan"/>
      <sheetName val="MP_BB5_6_Trucker"/>
      <sheetName val="MP_BB7_Laydown"/>
      <sheetName val="MP_BB7_RollerDieMan"/>
      <sheetName val="MP_BB7_Trucker"/>
      <sheetName val="MP_Beadwinder401_407"/>
      <sheetName val="MP_Beadwinder409"/>
      <sheetName val="MP_BersSlitter"/>
      <sheetName val="MP_FischerBreaker1"/>
      <sheetName val="MP_FischerBreaker2"/>
      <sheetName val="MP_FischerPlyShear"/>
      <sheetName val="MP_GE120"/>
      <sheetName val="MP_HotFormer_Extruders"/>
      <sheetName val="MP_HotFormer_Windup"/>
      <sheetName val="MP_ISTCutter"/>
      <sheetName val="MP_Maint_BeartrapRep"/>
      <sheetName val="MP_Maint_Elec (new)"/>
      <sheetName val="MP_Maint_Meca (new)"/>
      <sheetName val="MP_Millroom"/>
      <sheetName val="MP_MIXINGGroupleader"/>
      <sheetName val="MP_New_PigmentRoom"/>
      <sheetName val="MP_OldPigmentRoom"/>
      <sheetName val="MP_Quad_Booker"/>
      <sheetName val="MP_Quad_Operator"/>
      <sheetName val="MP_Quad_ServiceComp"/>
      <sheetName val="MP_Quad_SPCMan"/>
      <sheetName val="MP_RepairRoll"/>
      <sheetName val="MP_RepLiner"/>
      <sheetName val="MP_ResizeTable"/>
      <sheetName val="MP_SpoolHandling"/>
      <sheetName val="MP_Taiwan_Slitter"/>
      <sheetName val="MP_WireCal_CreelRoomOp"/>
      <sheetName val="MP_WireCal_MainOp"/>
      <sheetName val="MP_WireCal_MillMan"/>
      <sheetName val="MP_WireCal_WindupOp"/>
      <sheetName val="MP_WireCal_WireSurveillance"/>
      <sheetName val="MRT_APA_Builder"/>
      <sheetName val="MRT_EXIT_Service_Operator"/>
      <sheetName val="MRT_Cureman"/>
      <sheetName val="MRT_CuremanT6.2"/>
      <sheetName val="MRT_CuremanT7"/>
      <sheetName val="MRT_FFTireRepair"/>
      <sheetName val="MRT_InspectionOp"/>
      <sheetName val="MRT_Janitor_GumReturn"/>
      <sheetName val="MRT_LiningMachineOp"/>
      <sheetName val="MRT_Maint_Elec"/>
      <sheetName val="MRT_Maint_Meca"/>
      <sheetName val="MRT_Maint_Workshop"/>
      <sheetName val="MRT_Moldchanger"/>
      <sheetName val="MRT_NG_BandBuilder"/>
      <sheetName val="MRT_NG_BreakerBuilder"/>
      <sheetName val="MRT_ServiceMan"/>
      <sheetName val="MRT_Setupman"/>
      <sheetName val="MRT_StepDown_Op"/>
      <sheetName val="MRT_Tractordriver"/>
      <sheetName val="MRT_TrimmingOp"/>
      <sheetName val="MRT_OTR_DrumShop"/>
      <sheetName val="MRT_OTR_MoldShop"/>
      <sheetName val="OTR_124_1_2_Bandbuilder"/>
      <sheetName val="OTR_3.5inExtruder"/>
      <sheetName val="OTR_6inExtruder"/>
      <sheetName val="OTR_A1_A2"/>
      <sheetName val="OTR_AFRM"/>
      <sheetName val="OTR_AmecoWeldShop"/>
      <sheetName val="OTR_Bandsaw"/>
      <sheetName val="OTR_BatchoutMill"/>
      <sheetName val="OTR_BeadWinder"/>
      <sheetName val="OTR_BladderInsert_Cure"/>
      <sheetName val="OTR_Bladdershop"/>
      <sheetName val="OTR_BOM"/>
      <sheetName val="OTR_Cartrack"/>
      <sheetName val="OTR_E1_E2_LRF101"/>
      <sheetName val="OTR_Lami_E1E2"/>
      <sheetName val="OTR_Finishing"/>
      <sheetName val="OTR_Hotwaterplant"/>
      <sheetName val="OTR_Laminator"/>
      <sheetName val="OTR_LiningOp"/>
      <sheetName val="OTR_LRF102_103"/>
      <sheetName val="OTR_Maint_Elec"/>
      <sheetName val="OTR_Maint_Elec new"/>
      <sheetName val="OTR_Maint_Meca"/>
      <sheetName val="OTR_Maint_Meca new"/>
      <sheetName val="OTR_Plycutter"/>
      <sheetName val="OTR_RE14"/>
      <sheetName val="OTR_Potheater"/>
      <sheetName val="OTR_QTEC"/>
      <sheetName val="OTR_RRO"/>
      <sheetName val="OTR_SDBB"/>
      <sheetName val="OTR_WireCutter"/>
      <sheetName val="OTR_XRay"/>
      <sheetName val="Plant_Basement"/>
      <sheetName val="Plant_Batterychange"/>
      <sheetName val="Plant_Firebrigade"/>
      <sheetName val="Plant_Groupleader"/>
      <sheetName val="Plant_Postman"/>
      <sheetName val="Plant_Guardhouse"/>
      <sheetName val="Plant_LaborTrainer"/>
      <sheetName val="Plant_Office"/>
      <sheetName val="Plant_PIVDriver"/>
      <sheetName val="Plant_Powerhouse"/>
      <sheetName val="Plant_Reclassés"/>
      <sheetName val="Plant_Traffic"/>
      <sheetName val="Sheet1"/>
      <sheetName val="Plant_Vestiaire"/>
    </sheetNames>
    <sheetDataSet>
      <sheetData sheetId="0"/>
      <sheetData sheetId="1"/>
      <sheetData sheetId="2"/>
      <sheetData sheetId="3"/>
      <sheetData sheetId="4">
        <row r="5">
          <cell r="D5" t="str">
            <v>Machinery</v>
          </cell>
        </row>
        <row r="6">
          <cell r="D6" t="str">
            <v>Workstation</v>
          </cell>
        </row>
        <row r="7">
          <cell r="D7" t="str">
            <v>Physical</v>
          </cell>
        </row>
        <row r="8">
          <cell r="D8" t="str">
            <v>Chemical</v>
          </cell>
        </row>
        <row r="9">
          <cell r="D9" t="str">
            <v>Energy</v>
          </cell>
        </row>
        <row r="10">
          <cell r="D10" t="str">
            <v>Transport</v>
          </cell>
        </row>
        <row r="11">
          <cell r="D11" t="str">
            <v>Ergonomic</v>
          </cell>
        </row>
        <row r="12">
          <cell r="D12" t="str">
            <v>OrganizationalPsychological</v>
          </cell>
        </row>
        <row r="13">
          <cell r="D13" t="str">
            <v>Biological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32275-55D7-4DC1-80C5-E670DD86CF5C}" name="Table12" displayName="Table12" ref="A15:AD97" totalsRowCount="1" headerRowDxfId="65" dataDxfId="64" totalsRowDxfId="63" headerRowBorderDxfId="61" tableBorderDxfId="62" totalsRowBorderDxfId="60">
  <autoFilter ref="A15:AD96" xr:uid="{7F384FAC-17E2-4C74-A22F-292CFB9DA339}"/>
  <tableColumns count="30">
    <tableColumn id="1" xr3:uid="{CC95D3AF-38AC-4E1E-94BD-A33FC8CE6CCD}" name="Task/Step No" totalsRowLabel="Total" dataDxfId="58" totalsRowDxfId="59"/>
    <tableColumn id="2" xr3:uid="{EEDE53D0-518B-456D-BC55-434B0D5969F0}" name="Job Step &amp; Task Description" dataDxfId="56" totalsRowDxfId="57"/>
    <tableColumn id="3" xr3:uid="{57202203-2738-4AD0-A1EB-4D2FB02F78B6}" name="Hazard Group" dataDxfId="54" totalsRowDxfId="55"/>
    <tableColumn id="4" xr3:uid="{B19B48B9-5F7E-4DCB-91A1-A8B9D85A568B}" name="Hazard List" dataDxfId="52" totalsRowDxfId="53"/>
    <tableColumn id="5" xr3:uid="{9A81F7E2-9188-4E76-89FD-45F560CE1CB4}" name="Risk/Consequences (e.g. injury or illness that could occur as a result of hazard exposure)" dataDxfId="50" totalsRowDxfId="51"/>
    <tableColumn id="6" xr3:uid="{FACAE46A-4476-4FFD-945A-1C1244CD209C}" name="Photograph_x000a_(optional)" dataDxfId="48" totalsRowDxfId="49"/>
    <tableColumn id="7" xr3:uid="{09765791-402D-4784-AF0B-B5662DCC0CC4}" name="Hazard Source" dataDxfId="46" totalsRowDxfId="47"/>
    <tableColumn id="8" xr3:uid="{C7A82D18-9CEE-4AFE-8A92-242A2BF863EF}" name="Current Control (Counter Measure level) in place " dataDxfId="44" totalsRowDxfId="45"/>
    <tableColumn id="9" xr3:uid="{5C3E4377-AFDF-4638-B59B-A0FCF6055CA6}" name="Routine/Non-Routine/ Emergency Situation" dataDxfId="42" totalsRowDxfId="43"/>
    <tableColumn id="10" xr3:uid="{D675F981-A387-4868-9CBA-A66A0B4EFCA4}" name="Frequency" dataDxfId="40" totalsRowDxfId="41"/>
    <tableColumn id="11" xr3:uid="{54FC0C70-3D86-40B4-ADA0-4031A65550E4}" name="Severity" dataDxfId="38" totalsRowDxfId="39"/>
    <tableColumn id="12" xr3:uid="{183D0052-967C-4E45-93FE-B65030F6F2A8}" name="Likelihood" dataDxfId="36" totalsRowDxfId="37"/>
    <tableColumn id="13" xr3:uid="{15CC56DC-7B95-4DE8-9ADA-3A6E188F3DD7}" name="Risk Score" totalsRowFunction="max" dataDxfId="34" totalsRowDxfId="35">
      <calculatedColumnFormula>Table12[[#This Row],[Frequency]]*Table12[[#This Row],[Severity]]*Table12[[#This Row],[Likelihood]]</calculatedColumnFormula>
    </tableColumn>
    <tableColumn id="15" xr3:uid="{54708D64-CDDD-4D2E-B62B-85DF31E2DF26}" name="_x000a_Additional Control Measures to be implemented to reduce or eliminate risk_x000a_" dataDxfId="32" totalsRowDxfId="33"/>
    <tableColumn id="16" xr3:uid="{62D54110-9A5A-4C2B-AE74-D418C7727637}" name="Control Hierarchy" dataDxfId="30" totalsRowDxfId="31"/>
    <tableColumn id="31" xr3:uid="{E678DE24-D60D-4E60-B807-39ACEF631BF6}" name="Responsible" dataDxfId="28" totalsRowDxfId="29"/>
    <tableColumn id="30" xr3:uid="{D21ECA2A-B057-4E32-AE0C-F01542139171}" name="Targeted Date" dataDxfId="26" totalsRowDxfId="27"/>
    <tableColumn id="17" xr3:uid="{4ABFFEDC-DF3A-4BA0-A5FB-9507EF5372EC}" name="Frequency After Control Measures" dataDxfId="24" totalsRowDxfId="25"/>
    <tableColumn id="18" xr3:uid="{7E86B2D4-D177-4873-94DE-DD17DDF623E3}" name="Severity After Control Measures" dataDxfId="22" totalsRowDxfId="23"/>
    <tableColumn id="19" xr3:uid="{DD2A9018-E966-42C4-95CF-FA5C19A71EA2}" name="Likelihood After Control Measures" dataDxfId="20" totalsRowDxfId="21"/>
    <tableColumn id="20" xr3:uid="{59ED996A-A2E8-47ED-B18B-A551F3DA2530}" name="Risk Score2" totalsRowFunction="max" dataDxfId="18" totalsRowDxfId="19">
      <calculatedColumnFormula>Table12[[#This Row],[Frequency After Control Measures]]*Table12[[#This Row],[Severity After Control Measures]]*Table12[[#This Row],[Likelihood After Control Measures]]</calculatedColumnFormula>
    </tableColumn>
    <tableColumn id="22" xr3:uid="{E33B3652-2E40-4F15-8234-375A6DE7FA4C}" name="% Risk Reduction" totalsRowFunction="average" dataDxfId="16" totalsRowDxfId="17">
      <calculatedColumnFormula>IFERROR((M16-U16)/M16,"")</calculatedColumnFormula>
    </tableColumn>
    <tableColumn id="24" xr3:uid="{E99D87DF-3281-46D1-BFF2-8D6CEC91F69D}" name="Photograph_x000a_(After)" dataDxfId="14" totalsRowDxfId="15"/>
    <tableColumn id="14" xr3:uid="{A2E1ED5A-30AB-4797-8205-4B7549756859}" name="Verification  Date" dataDxfId="12" totalsRowDxfId="13"/>
    <tableColumn id="25" xr3:uid="{074C613B-5C4A-4869-AF37-CA40CE249065}" name="Verifier" dataDxfId="10" totalsRowDxfId="11"/>
    <tableColumn id="26" xr3:uid="{A3DBC265-CC64-41D6-A4B2-DD50B7BE580D}" name="Related Regulation" totalsRowFunction="custom" dataDxfId="8" totalsRowDxfId="9">
      <totalsRowFormula>SUBTOTAL(103,Table12[Verifier])</totalsRowFormula>
    </tableColumn>
    <tableColumn id="27" xr3:uid="{84B4AE8A-8D4F-4D92-BEC2-A539A6DA133F}" name="Action Closed" dataDxfId="6" totalsRowDxfId="7"/>
    <tableColumn id="28" xr3:uid="{788F51EF-DCD9-4B71-A86D-998D7477A5AE}" name="Action status" dataDxfId="4" totalsRowDxfId="5">
      <calculatedColumnFormula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calculatedColumnFormula>
    </tableColumn>
    <tableColumn id="29" xr3:uid="{461C48A9-46F1-45ED-A9A3-2EE6C238FC33}" name="Current RISK" totalsRowFunction="max" dataDxfId="2" totalsRowDxfId="3">
      <calculatedColumnFormula>IF(Table12[[#This Row],[Action Closed]]="Yes",Table12[[#This Row],[Risk Score2]],Table12[[#This Row],[Risk Score]])</calculatedColumnFormula>
    </tableColumn>
    <tableColumn id="21" xr3:uid="{ED3D596A-CDFB-4FF0-9F9F-66A2A7458FA8}" name="Current SEVERITY" totalsRowFunction="max" dataDxfId="0" totalsRowDxfId="1">
      <calculatedColumnFormula>IF(Table12[[#This Row],[Action Closed]]="Yes",Table12[[#This Row],[Severity After Control Measures]],Table12[[#This Row],[Severity]])</calculatedColumnFormula>
    </tableColumn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384FAC-17E2-4C74-A22F-292CFB9DA339}" name="Table1" displayName="Table1" ref="A15:AD97" totalsRowCount="1" headerRowDxfId="147" dataDxfId="145" totalsRowDxfId="143" headerRowBorderDxfId="146" tableBorderDxfId="144" totalsRowBorderDxfId="142">
  <autoFilter ref="A15:AD96" xr:uid="{7F384FAC-17E2-4C74-A22F-292CFB9DA339}"/>
  <tableColumns count="30">
    <tableColumn id="1" xr3:uid="{A756ADAF-418E-4A8B-9633-E4904F75B952}" name="Task/Step No" totalsRowLabel="Total" dataDxfId="141" totalsRowDxfId="140"/>
    <tableColumn id="2" xr3:uid="{006AB14A-DB82-4592-9C1C-74A70A3BDB5C}" name="Job Step &amp; Task Description" dataDxfId="139" totalsRowDxfId="138"/>
    <tableColumn id="3" xr3:uid="{83AE87A5-8E82-4AEE-88E1-D82A1895C38E}" name="Hazard Group" dataDxfId="137" totalsRowDxfId="136"/>
    <tableColumn id="4" xr3:uid="{1D79DAA9-A8ED-4317-81D0-366FD1E89039}" name="Hazard List" dataDxfId="135" totalsRowDxfId="134"/>
    <tableColumn id="5" xr3:uid="{60C53800-D6A9-4FAC-AB53-1CEF8DF8FA60}" name="Risk/Consequences (e.g. injury or illness that could occur as a result of hazard exposure)" dataDxfId="133" totalsRowDxfId="132"/>
    <tableColumn id="6" xr3:uid="{432709E1-356E-4C90-916E-D2F883358703}" name="Photograph_x000a_(optional)" dataDxfId="131" totalsRowDxfId="130"/>
    <tableColumn id="7" xr3:uid="{51EBFC34-26CD-487F-B1BA-F9B60643BCDA}" name="Hazard Source" dataDxfId="129" totalsRowDxfId="128"/>
    <tableColumn id="8" xr3:uid="{D7448D01-2BCA-416E-A046-5CEBBC615E5D}" name="Current Control (Counter Measure level) in place " dataDxfId="127" totalsRowDxfId="126"/>
    <tableColumn id="9" xr3:uid="{47C5C4A0-4320-47E3-9BB0-F894758E7BEA}" name="Routine/Non-Routine/ Emergency Situation" dataDxfId="125" totalsRowDxfId="124"/>
    <tableColumn id="10" xr3:uid="{F498CE88-6D22-4677-9FFB-F849366EAACF}" name="Frequency" dataDxfId="123" totalsRowDxfId="122"/>
    <tableColumn id="11" xr3:uid="{96B52AD8-FDA9-41AE-86E7-0728D47DB932}" name="Severity" dataDxfId="121" totalsRowDxfId="120"/>
    <tableColumn id="12" xr3:uid="{9041BE80-7E25-4620-8923-08AE1B3FC238}" name="Likelihood" dataDxfId="119" totalsRowDxfId="118"/>
    <tableColumn id="13" xr3:uid="{41CE6FF9-CF47-4AA2-91FD-1BADD3ECE9B6}" name="Risk Score" totalsRowFunction="max" dataDxfId="117" totalsRowDxfId="116">
      <calculatedColumnFormula>Table1[[#This Row],[Frequency]]*Table1[[#This Row],[Severity]]*Table1[[#This Row],[Likelihood]]</calculatedColumnFormula>
    </tableColumn>
    <tableColumn id="15" xr3:uid="{3C09A1A2-53F4-449C-9236-B19093FC8217}" name="_x000a_Additional Control Measures to be implemented to reduce or eliminate risk_x000a_" dataDxfId="115" totalsRowDxfId="114"/>
    <tableColumn id="16" xr3:uid="{EC6A32F7-F73F-4436-936A-A11FDC679C03}" name="Control Hierarchy" dataDxfId="113" totalsRowDxfId="112"/>
    <tableColumn id="31" xr3:uid="{3572E3E3-A049-41D3-BD67-4AF69D4EC7F4}" name="Responsible" dataDxfId="111" totalsRowDxfId="110"/>
    <tableColumn id="30" xr3:uid="{96473CB3-1302-4FCD-8F36-52016C9FCBF5}" name="Targeted Date" dataDxfId="109" totalsRowDxfId="108"/>
    <tableColumn id="17" xr3:uid="{5C8ED2F0-5566-4E9D-AFCF-04A70F3D83AF}" name="Frequency After Control Measures" dataDxfId="107" totalsRowDxfId="106"/>
    <tableColumn id="18" xr3:uid="{4C12C7A6-ED61-4DB3-B630-7A08ED3AEA79}" name="Severity After Control Measures" dataDxfId="105" totalsRowDxfId="104"/>
    <tableColumn id="19" xr3:uid="{5AF6346E-4CDB-4646-8EA9-0E8D00FA52E4}" name="Likelihood After Control Measures" dataDxfId="103" totalsRowDxfId="102"/>
    <tableColumn id="20" xr3:uid="{8A5F378B-27D5-4C98-9A01-9800DBDA9236}" name="Risk Score2" totalsRowFunction="max" dataDxfId="101" totalsRowDxfId="100">
      <calculatedColumnFormula>Table1[[#This Row],[Frequency After Control Measures]]*Table1[[#This Row],[Severity After Control Measures]]*Table1[[#This Row],[Likelihood After Control Measures]]</calculatedColumnFormula>
    </tableColumn>
    <tableColumn id="22" xr3:uid="{2DD1A583-1BC8-46F6-8A6A-93802F9921E7}" name="% Risk Reduction" totalsRowFunction="average" dataDxfId="99" totalsRowDxfId="98">
      <calculatedColumnFormula>IFERROR((M16-U16)/M16,"")</calculatedColumnFormula>
    </tableColumn>
    <tableColumn id="24" xr3:uid="{140C2C87-6CEE-427B-80C8-5B2C785F5A43}" name="Photograph_x000a_(After)" dataDxfId="97" totalsRowDxfId="96"/>
    <tableColumn id="14" xr3:uid="{6A607DFF-6A84-47AC-9AA8-892C4B9D831B}" name="Verification  Date" dataDxfId="95" totalsRowDxfId="94"/>
    <tableColumn id="25" xr3:uid="{7612BF4D-4179-4FBB-8539-68B2C024F167}" name="Verifier" dataDxfId="93" totalsRowDxfId="92"/>
    <tableColumn id="26" xr3:uid="{395E85B9-2158-4C39-8341-577E7D18277B}" name="Related Regulation" totalsRowFunction="custom" dataDxfId="91" totalsRowDxfId="90">
      <totalsRowFormula>SUBTOTAL(103,Table1[Verifier])</totalsRowFormula>
    </tableColumn>
    <tableColumn id="27" xr3:uid="{38535B6F-B916-44FD-8322-E820C9AF17C1}" name="Action Closed" dataDxfId="89" totalsRowDxfId="88"/>
    <tableColumn id="28" xr3:uid="{B3F9C22A-1042-4916-851E-CDA18051B18F}" name="Action status" dataDxfId="87" totalsRowDxfId="86">
      <calculatedColumnFormula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calculatedColumnFormula>
    </tableColumn>
    <tableColumn id="29" xr3:uid="{D436DD5C-104C-447B-93AC-3B3D687B2196}" name="Current RISK" totalsRowFunction="max" dataDxfId="85" totalsRowDxfId="84">
      <calculatedColumnFormula>IF(Table1[[#This Row],[Action Closed]]="Yes",Table1[[#This Row],[Risk Score2]],Table1[[#This Row],[Risk Score]])</calculatedColumnFormula>
    </tableColumn>
    <tableColumn id="21" xr3:uid="{E52327E8-127C-4E0D-85CD-0A1342BDE05E}" name="Current SEVERITY" totalsRowFunction="max" dataDxfId="83" totalsRowDxfId="82">
      <calculatedColumnFormula>IF(Table1[[#This Row],[Action Closed]]="Yes",Table1[[#This Row],[Severity After Control Measures]],Table1[[#This Row],[Severity]])</calculatedColumnFormula>
    </tableColumn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E20F3-3246-4DC2-9701-780F47297C30}">
  <dimension ref="A1:AI108"/>
  <sheetViews>
    <sheetView tabSelected="1" zoomScale="85" zoomScaleNormal="85" workbookViewId="0">
      <selection activeCell="B37" sqref="B37"/>
    </sheetView>
  </sheetViews>
  <sheetFormatPr defaultColWidth="9.140625" defaultRowHeight="12.75" outlineLevelCol="1" x14ac:dyDescent="0.25"/>
  <cols>
    <col min="1" max="1" width="12.28515625" style="78" customWidth="1"/>
    <col min="2" max="2" width="47.42578125" style="15" customWidth="1"/>
    <col min="3" max="4" width="31.42578125" style="15" customWidth="1"/>
    <col min="5" max="5" width="26.140625" style="78" customWidth="1"/>
    <col min="6" max="6" width="30.85546875" style="15" customWidth="1"/>
    <col min="7" max="7" width="19" style="15" bestFit="1" customWidth="1"/>
    <col min="8" max="8" width="42.42578125" style="15" customWidth="1"/>
    <col min="9" max="9" width="32.85546875" style="15" customWidth="1"/>
    <col min="10" max="12" width="11.42578125" style="78" customWidth="1"/>
    <col min="13" max="13" width="20.42578125" style="78" customWidth="1"/>
    <col min="14" max="14" width="41.5703125" style="78" customWidth="1"/>
    <col min="15" max="15" width="11" style="78" customWidth="1"/>
    <col min="16" max="16" width="17.140625" style="78" customWidth="1"/>
    <col min="17" max="17" width="15.28515625" style="78" customWidth="1"/>
    <col min="18" max="20" width="11.42578125" style="78" customWidth="1"/>
    <col min="21" max="21" width="15.5703125" style="78" customWidth="1"/>
    <col min="22" max="22" width="20.5703125" style="78" customWidth="1"/>
    <col min="23" max="23" width="26.42578125" style="15" hidden="1" customWidth="1" outlineLevel="1"/>
    <col min="24" max="24" width="22.140625" style="80" hidden="1" customWidth="1" outlineLevel="1"/>
    <col min="25" max="25" width="14.42578125" style="15" hidden="1" customWidth="1" outlineLevel="1"/>
    <col min="26" max="26" width="14.7109375" style="15" hidden="1" customWidth="1" outlineLevel="1"/>
    <col min="27" max="27" width="9.140625" style="15" collapsed="1"/>
    <col min="28" max="28" width="15.85546875" style="15" customWidth="1"/>
    <col min="29" max="30" width="17" style="13" customWidth="1"/>
    <col min="31" max="35" width="9.140625" style="13"/>
    <col min="36" max="16384" width="9.140625" style="15"/>
  </cols>
  <sheetData>
    <row r="1" spans="1:35" ht="16.5" thickBot="1" x14ac:dyDescent="0.3">
      <c r="A1" s="11"/>
      <c r="B1" s="12" t="s">
        <v>178</v>
      </c>
      <c r="C1" s="13"/>
      <c r="D1" s="13"/>
      <c r="E1" s="11"/>
      <c r="F1" s="13"/>
      <c r="G1" s="13"/>
      <c r="H1" s="13"/>
      <c r="I1" s="13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3"/>
      <c r="X1" s="14"/>
      <c r="Y1" s="13"/>
      <c r="Z1" s="13"/>
      <c r="AA1" s="13"/>
      <c r="AB1" s="13"/>
    </row>
    <row r="2" spans="1:35" ht="22.5" customHeight="1" x14ac:dyDescent="0.25">
      <c r="A2" s="11"/>
      <c r="B2" s="191" t="s">
        <v>0</v>
      </c>
      <c r="C2" s="198" t="s">
        <v>421</v>
      </c>
      <c r="D2" s="11"/>
      <c r="E2" s="97" t="s">
        <v>3</v>
      </c>
      <c r="F2" s="16">
        <f>COUNTIF(Table12[Current RISK],"&gt;=72")</f>
        <v>0</v>
      </c>
      <c r="G2" s="13"/>
      <c r="H2" s="13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3"/>
      <c r="W2" s="14"/>
      <c r="X2" s="13"/>
      <c r="Y2" s="13"/>
      <c r="Z2" s="13"/>
      <c r="AA2" s="13"/>
      <c r="AB2" s="13"/>
    </row>
    <row r="3" spans="1:35" s="20" customFormat="1" ht="22.5" customHeight="1" x14ac:dyDescent="0.25">
      <c r="A3" s="17"/>
      <c r="B3" s="192" t="s">
        <v>1</v>
      </c>
      <c r="C3" s="199"/>
      <c r="D3" s="17"/>
      <c r="E3" s="21" t="s">
        <v>5</v>
      </c>
      <c r="F3" s="18">
        <f>COUNTIF(Table12[Current RISK],"&gt;=50")-COUNTIF(Table12[Current RISK],"&gt;=72")</f>
        <v>0</v>
      </c>
      <c r="G3" s="17"/>
      <c r="H3" s="17"/>
      <c r="I3" s="17"/>
      <c r="J3" s="17"/>
      <c r="K3" s="17"/>
      <c r="L3" s="17"/>
      <c r="M3" s="17"/>
      <c r="N3" s="17"/>
      <c r="O3" s="19"/>
      <c r="P3" s="19"/>
      <c r="Q3" s="19"/>
      <c r="R3" s="19"/>
      <c r="S3" s="19"/>
      <c r="T3" s="19"/>
      <c r="U3" s="19"/>
      <c r="V3" s="19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</row>
    <row r="4" spans="1:35" s="20" customFormat="1" ht="22.5" customHeight="1" x14ac:dyDescent="0.25">
      <c r="A4" s="17"/>
      <c r="B4" s="192" t="s">
        <v>76</v>
      </c>
      <c r="C4" s="200" t="s">
        <v>422</v>
      </c>
      <c r="D4" s="17"/>
      <c r="E4" s="94" t="s">
        <v>7</v>
      </c>
      <c r="F4" s="18">
        <f>COUNTIF(Table12[Current RISK],"&gt;=20")-COUNTIF(Table12[Current RISK],"&gt;=50")</f>
        <v>0</v>
      </c>
      <c r="G4" s="17"/>
      <c r="H4" s="17"/>
      <c r="I4" s="17"/>
      <c r="J4" s="17"/>
      <c r="K4" s="17"/>
      <c r="L4" s="17"/>
      <c r="M4" s="17"/>
      <c r="N4" s="17"/>
      <c r="O4" s="19"/>
      <c r="P4" s="19"/>
      <c r="Q4" s="19"/>
      <c r="R4" s="19"/>
      <c r="S4" s="19"/>
      <c r="T4" s="19"/>
      <c r="U4" s="19"/>
      <c r="V4" s="19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spans="1:35" s="20" customFormat="1" ht="57.75" customHeight="1" x14ac:dyDescent="0.25">
      <c r="A5" s="201"/>
      <c r="B5" s="192" t="s">
        <v>77</v>
      </c>
      <c r="C5" s="199" t="s">
        <v>424</v>
      </c>
      <c r="D5" s="17"/>
      <c r="E5" s="22" t="s">
        <v>10</v>
      </c>
      <c r="F5" s="18">
        <f>COUNTIF(Table12[Current RISK],"&gt;=1")-COUNTIF(Table12[Current RISK],"&gt;=20")</f>
        <v>0</v>
      </c>
      <c r="G5" s="17"/>
      <c r="H5" s="17"/>
      <c r="I5" s="17"/>
      <c r="J5" s="17"/>
      <c r="K5" s="17"/>
      <c r="L5" s="17"/>
      <c r="M5" s="17"/>
      <c r="N5" s="17"/>
      <c r="O5" s="19"/>
      <c r="P5" s="19"/>
      <c r="Q5" s="19"/>
      <c r="R5" s="19"/>
      <c r="S5" s="19"/>
      <c r="T5" s="19"/>
      <c r="U5" s="19"/>
      <c r="V5" s="19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spans="1:35" s="20" customFormat="1" ht="22.5" customHeight="1" x14ac:dyDescent="0.25">
      <c r="A6" s="17"/>
      <c r="B6" s="192" t="s">
        <v>6</v>
      </c>
      <c r="C6" s="200" t="s">
        <v>423</v>
      </c>
      <c r="D6" s="17"/>
      <c r="E6" s="23" t="s">
        <v>2</v>
      </c>
      <c r="F6" s="24">
        <f>MAX(Table12[Current RISK])</f>
        <v>0</v>
      </c>
      <c r="G6" s="17"/>
      <c r="H6" s="17"/>
      <c r="I6" s="17"/>
      <c r="J6" s="17"/>
      <c r="K6" s="17"/>
      <c r="L6" s="17"/>
      <c r="M6" s="17"/>
      <c r="N6" s="17"/>
      <c r="O6" s="19"/>
      <c r="P6" s="19"/>
      <c r="Q6" s="19"/>
      <c r="R6" s="19"/>
      <c r="S6" s="19"/>
      <c r="T6" s="19"/>
      <c r="U6" s="19"/>
      <c r="V6" s="19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</row>
    <row r="7" spans="1:35" s="20" customFormat="1" ht="22.5" customHeight="1" thickBot="1" x14ac:dyDescent="0.3">
      <c r="A7" s="17"/>
      <c r="B7" s="192" t="s">
        <v>9</v>
      </c>
      <c r="C7" s="131"/>
      <c r="D7" s="17"/>
      <c r="E7" s="25" t="s">
        <v>4</v>
      </c>
      <c r="F7" s="26">
        <f>MAX(Table12[Current SEVERITY])</f>
        <v>0</v>
      </c>
      <c r="G7" s="17"/>
      <c r="H7" s="17"/>
      <c r="I7" s="17"/>
      <c r="J7" s="17"/>
      <c r="K7" s="17"/>
      <c r="L7" s="17"/>
      <c r="M7" s="17"/>
      <c r="N7" s="17"/>
      <c r="O7" s="19"/>
      <c r="P7" s="19"/>
      <c r="Q7" s="19"/>
      <c r="R7" s="19"/>
      <c r="S7" s="19"/>
      <c r="T7" s="19"/>
      <c r="U7" s="19"/>
      <c r="V7" s="19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</row>
    <row r="8" spans="1:35" s="20" customFormat="1" ht="22.5" customHeight="1" thickTop="1" x14ac:dyDescent="0.25">
      <c r="A8" s="17"/>
      <c r="B8" s="192" t="s">
        <v>12</v>
      </c>
      <c r="C8" s="1"/>
      <c r="D8" s="27"/>
      <c r="E8" s="28" t="s">
        <v>78</v>
      </c>
      <c r="F8" s="29">
        <f ca="1">+F10+F11</f>
        <v>0</v>
      </c>
      <c r="G8" s="30"/>
      <c r="H8" s="30"/>
      <c r="I8" s="30"/>
      <c r="J8" s="30"/>
      <c r="K8" s="30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</row>
    <row r="9" spans="1:35" s="20" customFormat="1" ht="24" customHeight="1" x14ac:dyDescent="0.25">
      <c r="A9" s="17"/>
      <c r="B9" s="192" t="s">
        <v>13</v>
      </c>
      <c r="C9" s="1"/>
      <c r="E9" s="31" t="s">
        <v>79</v>
      </c>
      <c r="F9" s="32">
        <f>+COUNTIF(Table12[Action Closed],"Yes")</f>
        <v>0</v>
      </c>
      <c r="G9" s="30"/>
      <c r="H9" s="33"/>
      <c r="I9" s="34"/>
      <c r="J9" s="30"/>
      <c r="K9" s="30"/>
      <c r="L9" s="35"/>
      <c r="M9" s="30"/>
      <c r="N9" s="30"/>
      <c r="O9" s="30"/>
      <c r="P9" s="30"/>
      <c r="Q9" s="30"/>
      <c r="R9" s="30"/>
      <c r="S9" s="30"/>
      <c r="T9" s="30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</row>
    <row r="10" spans="1:35" s="20" customFormat="1" ht="22.5" customHeight="1" x14ac:dyDescent="0.25">
      <c r="A10" s="17"/>
      <c r="B10" s="192" t="s">
        <v>75</v>
      </c>
      <c r="C10" s="1"/>
      <c r="E10" s="36" t="s">
        <v>8</v>
      </c>
      <c r="F10" s="37">
        <f ca="1">+COUNTIF(Table12[Action status],"Overdue")</f>
        <v>0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17"/>
      <c r="W10" s="38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 spans="1:35" s="20" customFormat="1" ht="22.5" customHeight="1" thickBot="1" x14ac:dyDescent="0.3">
      <c r="A11" s="17"/>
      <c r="B11" s="192" t="s">
        <v>14</v>
      </c>
      <c r="C11" s="1"/>
      <c r="D11" s="17"/>
      <c r="E11" s="39" t="s">
        <v>11</v>
      </c>
      <c r="F11" s="40">
        <f ca="1">+COUNTIF(Table12[Action status],"Ongoing")</f>
        <v>0</v>
      </c>
      <c r="G11" s="30"/>
      <c r="H11" s="17"/>
      <c r="I11" s="17"/>
      <c r="J11" s="41"/>
      <c r="K11" s="41"/>
      <c r="L11" s="35"/>
      <c r="M11" s="30"/>
      <c r="N11" s="30"/>
      <c r="O11" s="30"/>
      <c r="P11" s="30"/>
      <c r="Q11" s="30"/>
      <c r="R11" s="30"/>
      <c r="S11" s="30"/>
      <c r="T11" s="30"/>
      <c r="U11" s="30"/>
      <c r="V11" s="42"/>
      <c r="W11" s="17"/>
      <c r="X11" s="38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</row>
    <row r="12" spans="1:35" x14ac:dyDescent="0.25">
      <c r="A12" s="11"/>
      <c r="B12" s="43"/>
      <c r="C12" s="44"/>
      <c r="D12" s="45"/>
      <c r="E12" s="46"/>
      <c r="F12" s="45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42"/>
      <c r="W12" s="13"/>
      <c r="X12" s="14"/>
      <c r="Y12" s="13"/>
      <c r="Z12" s="13"/>
      <c r="AA12" s="13"/>
      <c r="AB12" s="13"/>
    </row>
    <row r="13" spans="1:35" ht="15.75" thickBot="1" x14ac:dyDescent="0.3">
      <c r="A13" s="11"/>
      <c r="B13" s="47" t="s">
        <v>15</v>
      </c>
      <c r="C13" s="2"/>
      <c r="D13" s="45"/>
      <c r="E13" s="46"/>
      <c r="F13" s="45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42"/>
      <c r="W13" s="13"/>
      <c r="X13" s="14"/>
      <c r="Y13" s="13"/>
      <c r="Z13" s="13"/>
      <c r="AA13" s="13"/>
      <c r="AB13" s="13"/>
    </row>
    <row r="14" spans="1:35" ht="27.75" customHeight="1" thickBot="1" x14ac:dyDescent="0.3">
      <c r="A14" s="11"/>
      <c r="B14" s="48"/>
      <c r="C14" s="45"/>
      <c r="D14" s="45"/>
      <c r="E14" s="49"/>
      <c r="F14" s="45"/>
      <c r="G14" s="30"/>
      <c r="H14" s="45"/>
      <c r="I14" s="45"/>
      <c r="J14" s="49"/>
      <c r="K14" s="49"/>
      <c r="L14" s="49"/>
      <c r="M14" s="49"/>
      <c r="N14" s="205" t="s">
        <v>73</v>
      </c>
      <c r="O14" s="206"/>
      <c r="P14" s="206"/>
      <c r="Q14" s="206"/>
      <c r="R14" s="206"/>
      <c r="S14" s="206"/>
      <c r="T14" s="206"/>
      <c r="U14" s="206"/>
      <c r="V14" s="207"/>
      <c r="W14" s="13"/>
      <c r="X14" s="13"/>
      <c r="AA14" s="202" t="s">
        <v>16</v>
      </c>
      <c r="AB14" s="203"/>
      <c r="AC14" s="203"/>
      <c r="AD14" s="204"/>
    </row>
    <row r="15" spans="1:35" s="63" customFormat="1" ht="75.75" thickBot="1" x14ac:dyDescent="0.3">
      <c r="A15" s="50" t="s">
        <v>17</v>
      </c>
      <c r="B15" s="193" t="s">
        <v>18</v>
      </c>
      <c r="C15" s="52" t="s">
        <v>19</v>
      </c>
      <c r="D15" s="52" t="s">
        <v>20</v>
      </c>
      <c r="E15" s="51" t="s">
        <v>21</v>
      </c>
      <c r="F15" s="53" t="s">
        <v>74</v>
      </c>
      <c r="G15" s="51" t="s">
        <v>22</v>
      </c>
      <c r="H15" s="51" t="s">
        <v>335</v>
      </c>
      <c r="I15" s="51" t="s">
        <v>23</v>
      </c>
      <c r="J15" s="54" t="s">
        <v>24</v>
      </c>
      <c r="K15" s="93" t="s">
        <v>25</v>
      </c>
      <c r="L15" s="54" t="s">
        <v>26</v>
      </c>
      <c r="M15" s="54" t="s">
        <v>27</v>
      </c>
      <c r="N15" s="55" t="s">
        <v>28</v>
      </c>
      <c r="O15" s="56" t="s">
        <v>29</v>
      </c>
      <c r="P15" s="56" t="s">
        <v>30</v>
      </c>
      <c r="Q15" s="56" t="s">
        <v>84</v>
      </c>
      <c r="R15" s="57" t="s">
        <v>31</v>
      </c>
      <c r="S15" s="57" t="s">
        <v>32</v>
      </c>
      <c r="T15" s="57" t="s">
        <v>33</v>
      </c>
      <c r="U15" s="57" t="s">
        <v>34</v>
      </c>
      <c r="V15" s="57" t="s">
        <v>35</v>
      </c>
      <c r="W15" s="58" t="s">
        <v>36</v>
      </c>
      <c r="X15" s="58" t="s">
        <v>37</v>
      </c>
      <c r="Y15" s="58" t="s">
        <v>38</v>
      </c>
      <c r="Z15" s="58" t="s">
        <v>39</v>
      </c>
      <c r="AA15" s="59" t="s">
        <v>40</v>
      </c>
      <c r="AB15" s="59" t="s">
        <v>41</v>
      </c>
      <c r="AC15" s="60" t="s">
        <v>42</v>
      </c>
      <c r="AD15" s="61" t="s">
        <v>43</v>
      </c>
      <c r="AE15" s="62"/>
      <c r="AF15" s="62"/>
      <c r="AG15" s="62"/>
      <c r="AH15" s="62"/>
      <c r="AI15" s="62"/>
    </row>
    <row r="16" spans="1:35" s="68" customFormat="1" ht="23.25" customHeight="1" x14ac:dyDescent="0.25">
      <c r="A16" s="3"/>
      <c r="B16" s="194"/>
      <c r="C16" s="4"/>
      <c r="D16" s="4"/>
      <c r="E16" s="4"/>
      <c r="F16" s="4"/>
      <c r="G16" s="4"/>
      <c r="H16" s="4"/>
      <c r="I16" s="4"/>
      <c r="J16" s="91"/>
      <c r="K16" s="96"/>
      <c r="L16" s="92"/>
      <c r="M16" s="65">
        <f>Table12[[#This Row],[Frequency]]*Table12[[#This Row],[Severity]]*Table12[[#This Row],[Likelihood]]</f>
        <v>0</v>
      </c>
      <c r="N16" s="6"/>
      <c r="O16" s="4"/>
      <c r="P16" s="4"/>
      <c r="Q16" s="185"/>
      <c r="R16" s="5"/>
      <c r="S16" s="4"/>
      <c r="T16" s="4"/>
      <c r="U16" s="65">
        <f>Table12[[#This Row],[Frequency After Control Measures]]*Table12[[#This Row],[Severity After Control Measures]]*Table12[[#This Row],[Likelihood After Control Measures]]</f>
        <v>0</v>
      </c>
      <c r="V16" s="86" t="str">
        <f t="shared" ref="V16:V96" si="0">IFERROR((M16-U16)/M16,"")</f>
        <v/>
      </c>
      <c r="W16" s="64"/>
      <c r="X16" s="64"/>
      <c r="Y16" s="66"/>
      <c r="Z16" s="66"/>
      <c r="AA16" s="4"/>
      <c r="AB16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16" s="65">
        <f>IF(Table12[[#This Row],[Action Closed]]="Yes",Table12[[#This Row],[Risk Score2]],Table12[[#This Row],[Risk Score]])</f>
        <v>0</v>
      </c>
      <c r="AD16" s="87">
        <f>IF(Table12[[#This Row],[Action Closed]]="Yes",Table12[[#This Row],[Severity After Control Measures]],Table12[[#This Row],[Severity]])</f>
        <v>0</v>
      </c>
      <c r="AE16" s="67"/>
      <c r="AF16" s="67"/>
      <c r="AG16" s="67"/>
      <c r="AH16" s="67"/>
      <c r="AI16" s="67"/>
    </row>
    <row r="17" spans="1:35" s="68" customFormat="1" ht="23.25" customHeight="1" x14ac:dyDescent="0.25">
      <c r="A17" s="3"/>
      <c r="B17" s="194"/>
      <c r="C17" s="4"/>
      <c r="D17" s="4"/>
      <c r="E17" s="4"/>
      <c r="F17" s="4"/>
      <c r="G17" s="4"/>
      <c r="H17" s="4"/>
      <c r="I17" s="4"/>
      <c r="J17" s="91"/>
      <c r="K17" s="96"/>
      <c r="L17" s="92"/>
      <c r="M17" s="65">
        <f>Table12[[#This Row],[Frequency]]*Table12[[#This Row],[Severity]]*Table12[[#This Row],[Likelihood]]</f>
        <v>0</v>
      </c>
      <c r="N17" s="6"/>
      <c r="O17" s="4"/>
      <c r="P17" s="4"/>
      <c r="Q17" s="185"/>
      <c r="R17" s="5"/>
      <c r="S17" s="4"/>
      <c r="T17" s="4"/>
      <c r="U17" s="65">
        <f>Table12[[#This Row],[Frequency After Control Measures]]*Table12[[#This Row],[Severity After Control Measures]]*Table12[[#This Row],[Likelihood After Control Measures]]</f>
        <v>0</v>
      </c>
      <c r="V17" s="86" t="str">
        <f t="shared" si="0"/>
        <v/>
      </c>
      <c r="W17" s="64"/>
      <c r="X17" s="64"/>
      <c r="Y17" s="66"/>
      <c r="Z17" s="66"/>
      <c r="AA17" s="4"/>
      <c r="AB17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17" s="65">
        <f>IF(Table12[[#This Row],[Action Closed]]="Yes",Table12[[#This Row],[Risk Score2]],Table12[[#This Row],[Risk Score]])</f>
        <v>0</v>
      </c>
      <c r="AD17" s="87">
        <f>IF(Table12[[#This Row],[Action Closed]]="Yes",Table12[[#This Row],[Severity After Control Measures]],Table12[[#This Row],[Severity]])</f>
        <v>0</v>
      </c>
      <c r="AE17" s="67"/>
      <c r="AF17" s="67"/>
      <c r="AG17" s="67"/>
      <c r="AH17" s="67"/>
      <c r="AI17" s="67"/>
    </row>
    <row r="18" spans="1:35" s="68" customFormat="1" ht="23.25" customHeight="1" x14ac:dyDescent="0.25">
      <c r="A18" s="92"/>
      <c r="B18" s="194"/>
      <c r="C18" s="4"/>
      <c r="D18" s="4"/>
      <c r="E18" s="4"/>
      <c r="F18" s="4"/>
      <c r="G18" s="4"/>
      <c r="H18" s="4"/>
      <c r="I18" s="4"/>
      <c r="J18" s="186"/>
      <c r="K18" s="190"/>
      <c r="L18" s="92"/>
      <c r="M18" s="65">
        <f>Table12[[#This Row],[Frequency]]*Table12[[#This Row],[Severity]]*Table12[[#This Row],[Likelihood]]</f>
        <v>0</v>
      </c>
      <c r="N18" s="6"/>
      <c r="O18" s="4"/>
      <c r="P18" s="4"/>
      <c r="Q18" s="185"/>
      <c r="R18" s="5"/>
      <c r="S18" s="4"/>
      <c r="T18" s="4"/>
      <c r="U18" s="187"/>
      <c r="V18" s="86"/>
      <c r="W18" s="64"/>
      <c r="X18" s="64"/>
      <c r="Y18" s="66"/>
      <c r="Z18" s="66"/>
      <c r="AA18" s="188"/>
      <c r="AB18" s="189"/>
      <c r="AC18" s="187"/>
      <c r="AD18" s="87"/>
      <c r="AE18" s="67"/>
      <c r="AF18" s="67"/>
      <c r="AG18" s="67"/>
      <c r="AH18" s="67"/>
      <c r="AI18" s="67"/>
    </row>
    <row r="19" spans="1:35" s="68" customFormat="1" ht="23.25" customHeight="1" x14ac:dyDescent="0.25">
      <c r="A19" s="3"/>
      <c r="B19" s="194"/>
      <c r="C19" s="4"/>
      <c r="D19" s="4"/>
      <c r="E19" s="4"/>
      <c r="F19" s="4"/>
      <c r="G19" s="4"/>
      <c r="H19" s="4"/>
      <c r="I19" s="4"/>
      <c r="J19" s="91"/>
      <c r="K19" s="96"/>
      <c r="L19" s="92"/>
      <c r="M19" s="65">
        <f>Table12[[#This Row],[Frequency]]*Table12[[#This Row],[Severity]]*Table12[[#This Row],[Likelihood]]</f>
        <v>0</v>
      </c>
      <c r="N19" s="6"/>
      <c r="O19" s="4"/>
      <c r="P19" s="4"/>
      <c r="Q19" s="185"/>
      <c r="R19" s="5"/>
      <c r="S19" s="4"/>
      <c r="T19" s="4"/>
      <c r="U19" s="65">
        <f>Table12[[#This Row],[Frequency After Control Measures]]*Table12[[#This Row],[Severity After Control Measures]]*Table12[[#This Row],[Likelihood After Control Measures]]</f>
        <v>0</v>
      </c>
      <c r="V19" s="86" t="str">
        <f t="shared" si="0"/>
        <v/>
      </c>
      <c r="W19" s="64"/>
      <c r="X19" s="64"/>
      <c r="Y19" s="66"/>
      <c r="Z19" s="66"/>
      <c r="AA19" s="4"/>
      <c r="AB19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19" s="65">
        <f>IF(Table12[[#This Row],[Action Closed]]="Yes",Table12[[#This Row],[Risk Score2]],Table12[[#This Row],[Risk Score]])</f>
        <v>0</v>
      </c>
      <c r="AD19" s="87">
        <f>IF(Table12[[#This Row],[Action Closed]]="Yes",Table12[[#This Row],[Severity After Control Measures]],Table12[[#This Row],[Severity]])</f>
        <v>0</v>
      </c>
      <c r="AE19" s="67"/>
      <c r="AF19" s="67"/>
      <c r="AG19" s="67"/>
      <c r="AH19" s="67"/>
      <c r="AI19" s="67"/>
    </row>
    <row r="20" spans="1:35" s="68" customFormat="1" ht="23.25" customHeight="1" x14ac:dyDescent="0.25">
      <c r="A20" s="3"/>
      <c r="B20" s="194"/>
      <c r="C20" s="4"/>
      <c r="D20" s="4"/>
      <c r="E20" s="4"/>
      <c r="F20" s="4"/>
      <c r="G20" s="4"/>
      <c r="H20" s="95"/>
      <c r="I20" s="4"/>
      <c r="J20" s="91"/>
      <c r="K20" s="96"/>
      <c r="L20" s="92"/>
      <c r="M20" s="65">
        <f>Table12[[#This Row],[Frequency]]*Table12[[#This Row],[Severity]]*Table12[[#This Row],[Likelihood]]</f>
        <v>0</v>
      </c>
      <c r="N20" s="6"/>
      <c r="O20" s="4"/>
      <c r="P20" s="4"/>
      <c r="Q20" s="185"/>
      <c r="R20" s="5"/>
      <c r="S20" s="4"/>
      <c r="T20" s="4"/>
      <c r="U20" s="65">
        <f>Table12[[#This Row],[Frequency After Control Measures]]*Table12[[#This Row],[Severity After Control Measures]]*Table12[[#This Row],[Likelihood After Control Measures]]</f>
        <v>0</v>
      </c>
      <c r="V20" s="86" t="str">
        <f t="shared" si="0"/>
        <v/>
      </c>
      <c r="W20" s="64"/>
      <c r="X20" s="64"/>
      <c r="Y20" s="66"/>
      <c r="Z20" s="66"/>
      <c r="AA20" s="4"/>
      <c r="AB20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20" s="65">
        <f>IF(Table12[[#This Row],[Action Closed]]="Yes",Table12[[#This Row],[Risk Score2]],Table12[[#This Row],[Risk Score]])</f>
        <v>0</v>
      </c>
      <c r="AD20" s="87">
        <f>IF(Table12[[#This Row],[Action Closed]]="Yes",Table12[[#This Row],[Severity After Control Measures]],Table12[[#This Row],[Severity]])</f>
        <v>0</v>
      </c>
      <c r="AE20" s="67"/>
      <c r="AF20" s="67"/>
      <c r="AG20" s="67"/>
      <c r="AH20" s="67"/>
      <c r="AI20" s="67"/>
    </row>
    <row r="21" spans="1:35" s="68" customFormat="1" ht="23.25" customHeight="1" x14ac:dyDescent="0.25">
      <c r="A21" s="3"/>
      <c r="B21" s="194"/>
      <c r="C21" s="4"/>
      <c r="D21" s="4"/>
      <c r="E21" s="4"/>
      <c r="F21" s="4"/>
      <c r="G21" s="4"/>
      <c r="H21" s="4"/>
      <c r="I21" s="4"/>
      <c r="J21" s="91"/>
      <c r="K21" s="96"/>
      <c r="L21" s="92"/>
      <c r="M21" s="65">
        <f>Table12[[#This Row],[Frequency]]*Table12[[#This Row],[Severity]]*Table12[[#This Row],[Likelihood]]</f>
        <v>0</v>
      </c>
      <c r="N21" s="6"/>
      <c r="O21" s="4"/>
      <c r="P21" s="4"/>
      <c r="Q21" s="185"/>
      <c r="R21" s="5"/>
      <c r="S21" s="4"/>
      <c r="T21" s="4"/>
      <c r="U21" s="65">
        <f>Table12[[#This Row],[Frequency After Control Measures]]*Table12[[#This Row],[Severity After Control Measures]]*Table12[[#This Row],[Likelihood After Control Measures]]</f>
        <v>0</v>
      </c>
      <c r="V21" s="86" t="str">
        <f t="shared" si="0"/>
        <v/>
      </c>
      <c r="W21" s="64"/>
      <c r="X21" s="64"/>
      <c r="Y21" s="66"/>
      <c r="Z21" s="66"/>
      <c r="AA21" s="4"/>
      <c r="AB21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21" s="65">
        <f>IF(Table12[[#This Row],[Action Closed]]="Yes",Table12[[#This Row],[Risk Score2]],Table12[[#This Row],[Risk Score]])</f>
        <v>0</v>
      </c>
      <c r="AD21" s="87">
        <f>IF(Table12[[#This Row],[Action Closed]]="Yes",Table12[[#This Row],[Severity After Control Measures]],Table12[[#This Row],[Severity]])</f>
        <v>0</v>
      </c>
      <c r="AE21" s="67"/>
      <c r="AF21" s="67"/>
      <c r="AG21" s="67"/>
      <c r="AH21" s="67"/>
      <c r="AI21" s="67"/>
    </row>
    <row r="22" spans="1:35" s="68" customFormat="1" ht="23.25" customHeight="1" x14ac:dyDescent="0.25">
      <c r="A22" s="3"/>
      <c r="B22" s="194"/>
      <c r="C22" s="4"/>
      <c r="D22" s="4"/>
      <c r="E22" s="4"/>
      <c r="F22" s="4"/>
      <c r="G22" s="4"/>
      <c r="H22" s="4"/>
      <c r="I22" s="4"/>
      <c r="J22" s="91"/>
      <c r="K22" s="90"/>
      <c r="L22" s="92"/>
      <c r="M22" s="65">
        <f>Table12[[#This Row],[Frequency]]*Table12[[#This Row],[Severity]]*Table12[[#This Row],[Likelihood]]</f>
        <v>0</v>
      </c>
      <c r="N22" s="6"/>
      <c r="O22" s="4"/>
      <c r="P22" s="4"/>
      <c r="Q22" s="185"/>
      <c r="R22" s="5"/>
      <c r="S22" s="4"/>
      <c r="T22" s="4"/>
      <c r="U22" s="65">
        <f>Table12[[#This Row],[Frequency After Control Measures]]*Table12[[#This Row],[Severity After Control Measures]]*Table12[[#This Row],[Likelihood After Control Measures]]</f>
        <v>0</v>
      </c>
      <c r="V22" s="86" t="str">
        <f t="shared" si="0"/>
        <v/>
      </c>
      <c r="W22" s="64"/>
      <c r="X22" s="64"/>
      <c r="Y22" s="66"/>
      <c r="Z22" s="66"/>
      <c r="AA22" s="4"/>
      <c r="AB22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22" s="65">
        <f>IF(Table12[[#This Row],[Action Closed]]="Yes",Table12[[#This Row],[Risk Score2]],Table12[[#This Row],[Risk Score]])</f>
        <v>0</v>
      </c>
      <c r="AD22" s="87">
        <f>IF(Table12[[#This Row],[Action Closed]]="Yes",Table12[[#This Row],[Severity After Control Measures]],Table12[[#This Row],[Severity]])</f>
        <v>0</v>
      </c>
      <c r="AE22" s="67"/>
      <c r="AF22" s="67"/>
      <c r="AG22" s="67"/>
      <c r="AH22" s="67"/>
      <c r="AI22" s="67"/>
    </row>
    <row r="23" spans="1:35" s="68" customFormat="1" ht="23.25" customHeight="1" x14ac:dyDescent="0.25">
      <c r="A23" s="3"/>
      <c r="B23" s="194"/>
      <c r="C23" s="4"/>
      <c r="D23" s="4"/>
      <c r="E23" s="4"/>
      <c r="F23" s="4"/>
      <c r="G23" s="4"/>
      <c r="H23" s="4"/>
      <c r="I23" s="4"/>
      <c r="J23" s="91"/>
      <c r="K23" s="90"/>
      <c r="L23" s="92"/>
      <c r="M23" s="65">
        <f>Table12[[#This Row],[Frequency]]*Table12[[#This Row],[Severity]]*Table12[[#This Row],[Likelihood]]</f>
        <v>0</v>
      </c>
      <c r="N23" s="6"/>
      <c r="O23" s="4"/>
      <c r="P23" s="4"/>
      <c r="Q23" s="185"/>
      <c r="R23" s="5"/>
      <c r="S23" s="4"/>
      <c r="T23" s="4"/>
      <c r="U23" s="65">
        <f>Table12[[#This Row],[Frequency After Control Measures]]*Table12[[#This Row],[Severity After Control Measures]]*Table12[[#This Row],[Likelihood After Control Measures]]</f>
        <v>0</v>
      </c>
      <c r="V23" s="86" t="str">
        <f t="shared" si="0"/>
        <v/>
      </c>
      <c r="W23" s="64"/>
      <c r="X23" s="64"/>
      <c r="Y23" s="66"/>
      <c r="Z23" s="66"/>
      <c r="AA23" s="4"/>
      <c r="AB23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23" s="65">
        <f>IF(Table12[[#This Row],[Action Closed]]="Yes",Table12[[#This Row],[Risk Score2]],Table12[[#This Row],[Risk Score]])</f>
        <v>0</v>
      </c>
      <c r="AD23" s="87">
        <f>IF(Table12[[#This Row],[Action Closed]]="Yes",Table12[[#This Row],[Severity After Control Measures]],Table12[[#This Row],[Severity]])</f>
        <v>0</v>
      </c>
      <c r="AE23" s="67"/>
      <c r="AF23" s="67"/>
      <c r="AG23" s="67"/>
      <c r="AH23" s="67"/>
      <c r="AI23" s="67"/>
    </row>
    <row r="24" spans="1:35" s="68" customFormat="1" ht="23.25" customHeight="1" x14ac:dyDescent="0.25">
      <c r="A24" s="3"/>
      <c r="B24" s="194"/>
      <c r="C24" s="4"/>
      <c r="D24" s="4"/>
      <c r="E24" s="4"/>
      <c r="F24" s="4"/>
      <c r="G24" s="4"/>
      <c r="H24" s="4"/>
      <c r="I24" s="4"/>
      <c r="J24" s="5"/>
      <c r="K24" s="4"/>
      <c r="L24" s="4"/>
      <c r="M24" s="65">
        <f>Table12[[#This Row],[Frequency]]*Table12[[#This Row],[Severity]]*Table12[[#This Row],[Likelihood]]</f>
        <v>0</v>
      </c>
      <c r="N24" s="6"/>
      <c r="O24" s="4"/>
      <c r="P24" s="4"/>
      <c r="Q24" s="185"/>
      <c r="R24" s="5"/>
      <c r="S24" s="4"/>
      <c r="T24" s="4"/>
      <c r="U24" s="65">
        <f>Table12[[#This Row],[Frequency After Control Measures]]*Table12[[#This Row],[Severity After Control Measures]]*Table12[[#This Row],[Likelihood After Control Measures]]</f>
        <v>0</v>
      </c>
      <c r="V24" s="86" t="str">
        <f t="shared" si="0"/>
        <v/>
      </c>
      <c r="W24" s="64"/>
      <c r="X24" s="64"/>
      <c r="Y24" s="66"/>
      <c r="Z24" s="66"/>
      <c r="AA24" s="4"/>
      <c r="AB24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24" s="65">
        <f>IF(Table12[[#This Row],[Action Closed]]="Yes",Table12[[#This Row],[Risk Score2]],Table12[[#This Row],[Risk Score]])</f>
        <v>0</v>
      </c>
      <c r="AD24" s="87">
        <f>IF(Table12[[#This Row],[Action Closed]]="Yes",Table12[[#This Row],[Severity After Control Measures]],Table12[[#This Row],[Severity]])</f>
        <v>0</v>
      </c>
      <c r="AE24" s="67"/>
      <c r="AF24" s="67"/>
      <c r="AG24" s="67"/>
      <c r="AH24" s="67"/>
      <c r="AI24" s="67"/>
    </row>
    <row r="25" spans="1:35" s="68" customFormat="1" ht="23.25" customHeight="1" x14ac:dyDescent="0.25">
      <c r="A25" s="3"/>
      <c r="B25" s="194"/>
      <c r="C25" s="4"/>
      <c r="D25" s="4"/>
      <c r="E25" s="4"/>
      <c r="F25" s="4"/>
      <c r="G25" s="4"/>
      <c r="H25" s="4"/>
      <c r="I25" s="4"/>
      <c r="J25" s="5"/>
      <c r="K25" s="4"/>
      <c r="L25" s="4"/>
      <c r="M25" s="65">
        <f>Table12[[#This Row],[Frequency]]*Table12[[#This Row],[Severity]]*Table12[[#This Row],[Likelihood]]</f>
        <v>0</v>
      </c>
      <c r="N25" s="6"/>
      <c r="O25" s="4"/>
      <c r="P25" s="4"/>
      <c r="Q25" s="185"/>
      <c r="R25" s="5"/>
      <c r="S25" s="4"/>
      <c r="T25" s="4"/>
      <c r="U25" s="65">
        <f>Table12[[#This Row],[Frequency After Control Measures]]*Table12[[#This Row],[Severity After Control Measures]]*Table12[[#This Row],[Likelihood After Control Measures]]</f>
        <v>0</v>
      </c>
      <c r="V25" s="86" t="str">
        <f t="shared" si="0"/>
        <v/>
      </c>
      <c r="W25" s="64"/>
      <c r="X25" s="64"/>
      <c r="Y25" s="66"/>
      <c r="Z25" s="66"/>
      <c r="AA25" s="4"/>
      <c r="AB25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25" s="65">
        <f>IF(Table12[[#This Row],[Action Closed]]="Yes",Table12[[#This Row],[Risk Score2]],Table12[[#This Row],[Risk Score]])</f>
        <v>0</v>
      </c>
      <c r="AD25" s="87">
        <f>IF(Table12[[#This Row],[Action Closed]]="Yes",Table12[[#This Row],[Severity After Control Measures]],Table12[[#This Row],[Severity]])</f>
        <v>0</v>
      </c>
      <c r="AE25" s="67"/>
      <c r="AF25" s="67"/>
      <c r="AG25" s="67"/>
      <c r="AH25" s="67"/>
      <c r="AI25" s="67"/>
    </row>
    <row r="26" spans="1:35" s="68" customFormat="1" ht="23.25" customHeight="1" x14ac:dyDescent="0.25">
      <c r="A26" s="3"/>
      <c r="B26" s="194"/>
      <c r="C26" s="4"/>
      <c r="D26" s="4"/>
      <c r="E26" s="4"/>
      <c r="F26" s="4"/>
      <c r="G26" s="4"/>
      <c r="H26" s="4"/>
      <c r="I26" s="4"/>
      <c r="J26" s="5"/>
      <c r="K26" s="4"/>
      <c r="L26" s="4"/>
      <c r="M26" s="65">
        <f>Table12[[#This Row],[Frequency]]*Table12[[#This Row],[Severity]]*Table12[[#This Row],[Likelihood]]</f>
        <v>0</v>
      </c>
      <c r="N26" s="6"/>
      <c r="O26" s="4"/>
      <c r="P26" s="4"/>
      <c r="Q26" s="185"/>
      <c r="R26" s="5"/>
      <c r="S26" s="4"/>
      <c r="T26" s="4"/>
      <c r="U26" s="65">
        <f>Table12[[#This Row],[Frequency After Control Measures]]*Table12[[#This Row],[Severity After Control Measures]]*Table12[[#This Row],[Likelihood After Control Measures]]</f>
        <v>0</v>
      </c>
      <c r="V26" s="86" t="str">
        <f t="shared" si="0"/>
        <v/>
      </c>
      <c r="W26" s="64"/>
      <c r="X26" s="64"/>
      <c r="Y26" s="66"/>
      <c r="Z26" s="66"/>
      <c r="AA26" s="4"/>
      <c r="AB26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26" s="65">
        <f>IF(Table12[[#This Row],[Action Closed]]="Yes",Table12[[#This Row],[Risk Score2]],Table12[[#This Row],[Risk Score]])</f>
        <v>0</v>
      </c>
      <c r="AD26" s="87">
        <f>IF(Table12[[#This Row],[Action Closed]]="Yes",Table12[[#This Row],[Severity After Control Measures]],Table12[[#This Row],[Severity]])</f>
        <v>0</v>
      </c>
      <c r="AE26" s="67"/>
      <c r="AF26" s="67"/>
      <c r="AG26" s="67"/>
      <c r="AH26" s="67"/>
      <c r="AI26" s="67"/>
    </row>
    <row r="27" spans="1:35" s="68" customFormat="1" ht="23.25" customHeight="1" x14ac:dyDescent="0.25">
      <c r="A27" s="3"/>
      <c r="B27" s="194"/>
      <c r="C27" s="4"/>
      <c r="D27" s="4"/>
      <c r="E27" s="4"/>
      <c r="F27" s="4"/>
      <c r="G27" s="4"/>
      <c r="H27" s="4"/>
      <c r="I27" s="4"/>
      <c r="J27" s="5"/>
      <c r="K27" s="4"/>
      <c r="L27" s="4"/>
      <c r="M27" s="65">
        <f>Table12[[#This Row],[Frequency]]*Table12[[#This Row],[Severity]]*Table12[[#This Row],[Likelihood]]</f>
        <v>0</v>
      </c>
      <c r="N27" s="6"/>
      <c r="O27" s="4"/>
      <c r="P27" s="4"/>
      <c r="Q27" s="185"/>
      <c r="R27" s="5"/>
      <c r="S27" s="4"/>
      <c r="T27" s="4"/>
      <c r="U27" s="65">
        <f>Table12[[#This Row],[Frequency After Control Measures]]*Table12[[#This Row],[Severity After Control Measures]]*Table12[[#This Row],[Likelihood After Control Measures]]</f>
        <v>0</v>
      </c>
      <c r="V27" s="86" t="str">
        <f t="shared" si="0"/>
        <v/>
      </c>
      <c r="W27" s="64"/>
      <c r="X27" s="64"/>
      <c r="Y27" s="66"/>
      <c r="Z27" s="66"/>
      <c r="AA27" s="4"/>
      <c r="AB27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27" s="65">
        <f>IF(Table12[[#This Row],[Action Closed]]="Yes",Table12[[#This Row],[Risk Score2]],Table12[[#This Row],[Risk Score]])</f>
        <v>0</v>
      </c>
      <c r="AD27" s="87">
        <f>IF(Table12[[#This Row],[Action Closed]]="Yes",Table12[[#This Row],[Severity After Control Measures]],Table12[[#This Row],[Severity]])</f>
        <v>0</v>
      </c>
      <c r="AE27" s="67"/>
      <c r="AF27" s="67"/>
      <c r="AG27" s="67"/>
      <c r="AH27" s="67"/>
      <c r="AI27" s="67"/>
    </row>
    <row r="28" spans="1:35" s="68" customFormat="1" ht="23.25" customHeight="1" x14ac:dyDescent="0.25">
      <c r="A28" s="3"/>
      <c r="B28" s="194"/>
      <c r="C28" s="4"/>
      <c r="D28" s="4"/>
      <c r="E28" s="4"/>
      <c r="F28" s="4"/>
      <c r="G28" s="4"/>
      <c r="H28" s="4"/>
      <c r="I28" s="4"/>
      <c r="J28" s="5"/>
      <c r="K28" s="4"/>
      <c r="L28" s="4"/>
      <c r="M28" s="65">
        <f>Table12[[#This Row],[Frequency]]*Table12[[#This Row],[Severity]]*Table12[[#This Row],[Likelihood]]</f>
        <v>0</v>
      </c>
      <c r="N28" s="6"/>
      <c r="O28" s="4"/>
      <c r="P28" s="4"/>
      <c r="Q28" s="185"/>
      <c r="R28" s="5"/>
      <c r="S28" s="4"/>
      <c r="T28" s="4"/>
      <c r="U28" s="65">
        <f>Table12[[#This Row],[Frequency After Control Measures]]*Table12[[#This Row],[Severity After Control Measures]]*Table12[[#This Row],[Likelihood After Control Measures]]</f>
        <v>0</v>
      </c>
      <c r="V28" s="86" t="str">
        <f t="shared" si="0"/>
        <v/>
      </c>
      <c r="W28" s="64"/>
      <c r="X28" s="64"/>
      <c r="Y28" s="66"/>
      <c r="Z28" s="66"/>
      <c r="AA28" s="4"/>
      <c r="AB28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28" s="65">
        <f>IF(Table12[[#This Row],[Action Closed]]="Yes",Table12[[#This Row],[Risk Score2]],Table12[[#This Row],[Risk Score]])</f>
        <v>0</v>
      </c>
      <c r="AD28" s="87">
        <f>IF(Table12[[#This Row],[Action Closed]]="Yes",Table12[[#This Row],[Severity After Control Measures]],Table12[[#This Row],[Severity]])</f>
        <v>0</v>
      </c>
      <c r="AE28" s="67"/>
      <c r="AF28" s="67"/>
      <c r="AG28" s="67"/>
      <c r="AH28" s="67"/>
      <c r="AI28" s="67"/>
    </row>
    <row r="29" spans="1:35" s="68" customFormat="1" ht="23.25" customHeight="1" x14ac:dyDescent="0.25">
      <c r="A29" s="3"/>
      <c r="B29" s="194"/>
      <c r="C29" s="4"/>
      <c r="D29" s="4"/>
      <c r="E29" s="4"/>
      <c r="F29" s="4"/>
      <c r="G29" s="4"/>
      <c r="H29" s="4"/>
      <c r="I29" s="4"/>
      <c r="J29" s="5"/>
      <c r="K29" s="4"/>
      <c r="L29" s="4"/>
      <c r="M29" s="65">
        <f>Table12[[#This Row],[Frequency]]*Table12[[#This Row],[Severity]]*Table12[[#This Row],[Likelihood]]</f>
        <v>0</v>
      </c>
      <c r="N29" s="6"/>
      <c r="O29" s="4"/>
      <c r="P29" s="4"/>
      <c r="Q29" s="185"/>
      <c r="R29" s="5"/>
      <c r="S29" s="4"/>
      <c r="T29" s="4"/>
      <c r="U29" s="65"/>
      <c r="V29" s="86"/>
      <c r="W29" s="64"/>
      <c r="X29" s="64"/>
      <c r="Y29" s="66"/>
      <c r="Z29" s="66"/>
      <c r="AA29" s="4"/>
      <c r="AB29" s="84"/>
      <c r="AC29" s="65"/>
      <c r="AD29" s="87"/>
      <c r="AE29" s="67"/>
      <c r="AF29" s="67"/>
      <c r="AG29" s="67"/>
      <c r="AH29" s="67"/>
      <c r="AI29" s="67"/>
    </row>
    <row r="30" spans="1:35" s="68" customFormat="1" ht="23.25" customHeight="1" x14ac:dyDescent="0.25">
      <c r="A30" s="3"/>
      <c r="B30" s="194"/>
      <c r="C30" s="4"/>
      <c r="D30" s="4"/>
      <c r="E30" s="4"/>
      <c r="F30" s="4"/>
      <c r="G30" s="4"/>
      <c r="H30" s="4"/>
      <c r="I30" s="4"/>
      <c r="J30" s="5"/>
      <c r="K30" s="4"/>
      <c r="L30" s="4"/>
      <c r="M30" s="65">
        <f>Table12[[#This Row],[Frequency]]*Table12[[#This Row],[Severity]]*Table12[[#This Row],[Likelihood]]</f>
        <v>0</v>
      </c>
      <c r="N30" s="6"/>
      <c r="O30" s="4"/>
      <c r="P30" s="4"/>
      <c r="Q30" s="185"/>
      <c r="R30" s="5"/>
      <c r="S30" s="4"/>
      <c r="T30" s="4"/>
      <c r="U30" s="65"/>
      <c r="V30" s="86"/>
      <c r="W30" s="64"/>
      <c r="X30" s="64"/>
      <c r="Y30" s="66"/>
      <c r="Z30" s="66"/>
      <c r="AA30" s="4"/>
      <c r="AB30" s="84"/>
      <c r="AC30" s="65"/>
      <c r="AD30" s="87"/>
      <c r="AE30" s="67"/>
      <c r="AF30" s="67"/>
      <c r="AG30" s="67"/>
      <c r="AH30" s="67"/>
      <c r="AI30" s="67"/>
    </row>
    <row r="31" spans="1:35" s="68" customFormat="1" ht="23.25" x14ac:dyDescent="0.25">
      <c r="A31" s="3"/>
      <c r="B31" s="194"/>
      <c r="C31" s="4"/>
      <c r="D31" s="4"/>
      <c r="E31" s="4"/>
      <c r="F31" s="4"/>
      <c r="G31" s="4"/>
      <c r="H31" s="4"/>
      <c r="I31" s="4"/>
      <c r="J31" s="5"/>
      <c r="K31" s="4"/>
      <c r="L31" s="4"/>
      <c r="M31" s="65">
        <f>Table12[[#This Row],[Frequency]]*Table12[[#This Row],[Severity]]*Table12[[#This Row],[Likelihood]]</f>
        <v>0</v>
      </c>
      <c r="N31" s="6"/>
      <c r="O31" s="4"/>
      <c r="P31" s="4"/>
      <c r="Q31" s="185"/>
      <c r="R31" s="5"/>
      <c r="S31" s="4"/>
      <c r="T31" s="4"/>
      <c r="U31" s="65"/>
      <c r="V31" s="86"/>
      <c r="W31" s="64"/>
      <c r="X31" s="64"/>
      <c r="Y31" s="66"/>
      <c r="Z31" s="66"/>
      <c r="AA31" s="4"/>
      <c r="AB31" s="84"/>
      <c r="AC31" s="65"/>
      <c r="AD31" s="87"/>
      <c r="AE31" s="67"/>
      <c r="AF31" s="67"/>
      <c r="AG31" s="67"/>
      <c r="AH31" s="67"/>
      <c r="AI31" s="67"/>
    </row>
    <row r="32" spans="1:35" s="68" customFormat="1" ht="23.25" x14ac:dyDescent="0.25">
      <c r="A32" s="3"/>
      <c r="B32" s="194"/>
      <c r="C32" s="4"/>
      <c r="D32" s="4"/>
      <c r="E32" s="4"/>
      <c r="F32" s="4"/>
      <c r="G32" s="4"/>
      <c r="H32" s="4"/>
      <c r="I32" s="4"/>
      <c r="J32" s="5"/>
      <c r="K32" s="4"/>
      <c r="L32" s="4"/>
      <c r="M32" s="65">
        <f>Table12[[#This Row],[Frequency]]*Table12[[#This Row],[Severity]]*Table12[[#This Row],[Likelihood]]</f>
        <v>0</v>
      </c>
      <c r="N32" s="6"/>
      <c r="O32" s="4"/>
      <c r="P32" s="4"/>
      <c r="Q32" s="185"/>
      <c r="R32" s="5"/>
      <c r="S32" s="4"/>
      <c r="T32" s="4"/>
      <c r="U32" s="65"/>
      <c r="V32" s="86"/>
      <c r="W32" s="64"/>
      <c r="X32" s="64"/>
      <c r="Y32" s="66"/>
      <c r="Z32" s="66"/>
      <c r="AA32" s="4"/>
      <c r="AB32" s="84"/>
      <c r="AC32" s="65"/>
      <c r="AD32" s="87"/>
      <c r="AE32" s="67"/>
      <c r="AF32" s="67"/>
      <c r="AG32" s="67"/>
      <c r="AH32" s="67"/>
      <c r="AI32" s="67"/>
    </row>
    <row r="33" spans="1:35" s="68" customFormat="1" ht="23.25" x14ac:dyDescent="0.25">
      <c r="A33" s="3"/>
      <c r="B33" s="194"/>
      <c r="C33" s="4"/>
      <c r="D33" s="4"/>
      <c r="E33" s="4"/>
      <c r="F33" s="4"/>
      <c r="G33" s="4"/>
      <c r="H33" s="4"/>
      <c r="I33" s="4"/>
      <c r="J33" s="5"/>
      <c r="K33" s="4"/>
      <c r="L33" s="4"/>
      <c r="M33" s="65">
        <f>Table12[[#This Row],[Frequency]]*Table12[[#This Row],[Severity]]*Table12[[#This Row],[Likelihood]]</f>
        <v>0</v>
      </c>
      <c r="N33" s="6"/>
      <c r="O33" s="4"/>
      <c r="P33" s="4"/>
      <c r="Q33" s="185"/>
      <c r="R33" s="5"/>
      <c r="S33" s="4"/>
      <c r="T33" s="4"/>
      <c r="U33" s="65"/>
      <c r="V33" s="86"/>
      <c r="W33" s="64"/>
      <c r="X33" s="64"/>
      <c r="Y33" s="66"/>
      <c r="Z33" s="66"/>
      <c r="AA33" s="4"/>
      <c r="AB33" s="84"/>
      <c r="AC33" s="65"/>
      <c r="AD33" s="87"/>
      <c r="AE33" s="67"/>
      <c r="AF33" s="67"/>
      <c r="AG33" s="67"/>
      <c r="AH33" s="67"/>
      <c r="AI33" s="67"/>
    </row>
    <row r="34" spans="1:35" s="68" customFormat="1" ht="23.25" x14ac:dyDescent="0.25">
      <c r="A34" s="3"/>
      <c r="B34" s="194"/>
      <c r="C34" s="4"/>
      <c r="D34" s="4"/>
      <c r="E34" s="4"/>
      <c r="F34" s="4"/>
      <c r="G34" s="4"/>
      <c r="H34" s="4"/>
      <c r="I34" s="4"/>
      <c r="J34" s="5"/>
      <c r="K34" s="4"/>
      <c r="L34" s="4"/>
      <c r="M34" s="65">
        <f>Table12[[#This Row],[Frequency]]*Table12[[#This Row],[Severity]]*Table12[[#This Row],[Likelihood]]</f>
        <v>0</v>
      </c>
      <c r="N34" s="6"/>
      <c r="O34" s="4"/>
      <c r="P34" s="4"/>
      <c r="Q34" s="185"/>
      <c r="R34" s="5"/>
      <c r="S34" s="4"/>
      <c r="T34" s="4"/>
      <c r="U34" s="65"/>
      <c r="V34" s="86"/>
      <c r="W34" s="64"/>
      <c r="X34" s="64"/>
      <c r="Y34" s="66"/>
      <c r="Z34" s="66"/>
      <c r="AA34" s="4"/>
      <c r="AB34" s="84"/>
      <c r="AC34" s="65"/>
      <c r="AD34" s="87"/>
      <c r="AE34" s="67"/>
      <c r="AF34" s="67"/>
      <c r="AG34" s="67"/>
      <c r="AH34" s="67"/>
      <c r="AI34" s="67"/>
    </row>
    <row r="35" spans="1:35" s="68" customFormat="1" ht="23.25" x14ac:dyDescent="0.25">
      <c r="A35" s="3"/>
      <c r="B35" s="194"/>
      <c r="C35" s="4"/>
      <c r="D35" s="4"/>
      <c r="E35" s="4"/>
      <c r="F35" s="4"/>
      <c r="G35" s="4"/>
      <c r="H35" s="4"/>
      <c r="I35" s="4"/>
      <c r="J35" s="5"/>
      <c r="K35" s="4"/>
      <c r="L35" s="4"/>
      <c r="M35" s="65">
        <f>Table12[[#This Row],[Frequency]]*Table12[[#This Row],[Severity]]*Table12[[#This Row],[Likelihood]]</f>
        <v>0</v>
      </c>
      <c r="N35" s="6"/>
      <c r="O35" s="4"/>
      <c r="P35" s="4"/>
      <c r="Q35" s="185"/>
      <c r="R35" s="5"/>
      <c r="S35" s="4"/>
      <c r="T35" s="4"/>
      <c r="U35" s="65"/>
      <c r="V35" s="86"/>
      <c r="W35" s="64"/>
      <c r="X35" s="64"/>
      <c r="Y35" s="66"/>
      <c r="Z35" s="66"/>
      <c r="AA35" s="4"/>
      <c r="AB35" s="84"/>
      <c r="AC35" s="65"/>
      <c r="AD35" s="87"/>
      <c r="AE35" s="67"/>
      <c r="AF35" s="67"/>
      <c r="AG35" s="67"/>
      <c r="AH35" s="67"/>
      <c r="AI35" s="67"/>
    </row>
    <row r="36" spans="1:35" s="68" customFormat="1" ht="23.25" x14ac:dyDescent="0.25">
      <c r="A36" s="3"/>
      <c r="B36" s="194"/>
      <c r="C36" s="4"/>
      <c r="D36" s="4"/>
      <c r="E36" s="4"/>
      <c r="F36" s="4"/>
      <c r="G36" s="4"/>
      <c r="H36" s="4"/>
      <c r="I36" s="4"/>
      <c r="J36" s="5"/>
      <c r="K36" s="4"/>
      <c r="L36" s="4"/>
      <c r="M36" s="65">
        <f>Table12[[#This Row],[Frequency]]*Table12[[#This Row],[Severity]]*Table12[[#This Row],[Likelihood]]</f>
        <v>0</v>
      </c>
      <c r="N36" s="6"/>
      <c r="O36" s="4"/>
      <c r="P36" s="4"/>
      <c r="Q36" s="185"/>
      <c r="R36" s="5"/>
      <c r="S36" s="4"/>
      <c r="T36" s="4"/>
      <c r="U36" s="65"/>
      <c r="V36" s="86"/>
      <c r="W36" s="64"/>
      <c r="X36" s="64"/>
      <c r="Y36" s="66"/>
      <c r="Z36" s="66"/>
      <c r="AA36" s="4"/>
      <c r="AB36" s="84"/>
      <c r="AC36" s="65"/>
      <c r="AD36" s="87"/>
      <c r="AE36" s="67"/>
      <c r="AF36" s="67"/>
      <c r="AG36" s="67"/>
      <c r="AH36" s="67"/>
      <c r="AI36" s="67"/>
    </row>
    <row r="37" spans="1:35" s="68" customFormat="1" ht="23.25" x14ac:dyDescent="0.25">
      <c r="A37" s="3"/>
      <c r="B37" s="194"/>
      <c r="C37" s="4"/>
      <c r="D37" s="4"/>
      <c r="E37" s="4"/>
      <c r="F37" s="4"/>
      <c r="G37" s="4"/>
      <c r="H37" s="4"/>
      <c r="I37" s="4"/>
      <c r="J37" s="5"/>
      <c r="K37" s="4"/>
      <c r="L37" s="4"/>
      <c r="M37" s="65">
        <f>Table12[[#This Row],[Frequency]]*Table12[[#This Row],[Severity]]*Table12[[#This Row],[Likelihood]]</f>
        <v>0</v>
      </c>
      <c r="N37" s="6"/>
      <c r="O37" s="4"/>
      <c r="P37" s="4"/>
      <c r="Q37" s="185"/>
      <c r="R37" s="5"/>
      <c r="S37" s="4"/>
      <c r="T37" s="4"/>
      <c r="U37" s="65"/>
      <c r="V37" s="86"/>
      <c r="W37" s="64"/>
      <c r="X37" s="64"/>
      <c r="Y37" s="66"/>
      <c r="Z37" s="66"/>
      <c r="AA37" s="4"/>
      <c r="AB37" s="84"/>
      <c r="AC37" s="65"/>
      <c r="AD37" s="87"/>
      <c r="AE37" s="67"/>
      <c r="AF37" s="67"/>
      <c r="AG37" s="67"/>
      <c r="AH37" s="67"/>
      <c r="AI37" s="67"/>
    </row>
    <row r="38" spans="1:35" s="68" customFormat="1" ht="23.25" x14ac:dyDescent="0.25">
      <c r="A38" s="3"/>
      <c r="B38" s="194"/>
      <c r="C38" s="4"/>
      <c r="D38" s="4"/>
      <c r="E38" s="4"/>
      <c r="F38" s="4"/>
      <c r="G38" s="4"/>
      <c r="H38" s="4"/>
      <c r="I38" s="4"/>
      <c r="J38" s="5"/>
      <c r="K38" s="4"/>
      <c r="L38" s="4"/>
      <c r="M38" s="65">
        <f>Table12[[#This Row],[Frequency]]*Table12[[#This Row],[Severity]]*Table12[[#This Row],[Likelihood]]</f>
        <v>0</v>
      </c>
      <c r="N38" s="6"/>
      <c r="O38" s="4"/>
      <c r="P38" s="4"/>
      <c r="Q38" s="185"/>
      <c r="R38" s="5"/>
      <c r="S38" s="4"/>
      <c r="T38" s="4"/>
      <c r="U38" s="65"/>
      <c r="V38" s="86"/>
      <c r="W38" s="64"/>
      <c r="X38" s="64"/>
      <c r="Y38" s="66"/>
      <c r="Z38" s="66"/>
      <c r="AA38" s="4"/>
      <c r="AB38" s="84"/>
      <c r="AC38" s="65"/>
      <c r="AD38" s="87"/>
      <c r="AE38" s="67"/>
      <c r="AF38" s="67"/>
      <c r="AG38" s="67"/>
      <c r="AH38" s="67"/>
      <c r="AI38" s="67"/>
    </row>
    <row r="39" spans="1:35" s="68" customFormat="1" ht="23.25" x14ac:dyDescent="0.25">
      <c r="A39" s="3"/>
      <c r="B39" s="194"/>
      <c r="C39" s="4"/>
      <c r="D39" s="4"/>
      <c r="E39" s="4"/>
      <c r="F39" s="4"/>
      <c r="G39" s="4"/>
      <c r="H39" s="4"/>
      <c r="I39" s="4"/>
      <c r="J39" s="5"/>
      <c r="K39" s="4"/>
      <c r="L39" s="4"/>
      <c r="M39" s="65">
        <f>Table12[[#This Row],[Frequency]]*Table12[[#This Row],[Severity]]*Table12[[#This Row],[Likelihood]]</f>
        <v>0</v>
      </c>
      <c r="N39" s="6"/>
      <c r="O39" s="4"/>
      <c r="P39" s="4"/>
      <c r="Q39" s="185"/>
      <c r="R39" s="5"/>
      <c r="S39" s="4"/>
      <c r="T39" s="4"/>
      <c r="U39" s="65"/>
      <c r="V39" s="86"/>
      <c r="W39" s="64"/>
      <c r="X39" s="64"/>
      <c r="Y39" s="66"/>
      <c r="Z39" s="66"/>
      <c r="AA39" s="4"/>
      <c r="AB39" s="84"/>
      <c r="AC39" s="65"/>
      <c r="AD39" s="87"/>
      <c r="AE39" s="67"/>
      <c r="AF39" s="67"/>
      <c r="AG39" s="67"/>
      <c r="AH39" s="67"/>
      <c r="AI39" s="67"/>
    </row>
    <row r="40" spans="1:35" s="68" customFormat="1" ht="23.25" x14ac:dyDescent="0.25">
      <c r="A40" s="3"/>
      <c r="B40" s="194"/>
      <c r="C40" s="4"/>
      <c r="D40" s="4"/>
      <c r="E40" s="4"/>
      <c r="F40" s="4"/>
      <c r="G40" s="4"/>
      <c r="H40" s="4"/>
      <c r="I40" s="4"/>
      <c r="J40" s="5"/>
      <c r="K40" s="4"/>
      <c r="L40" s="4"/>
      <c r="M40" s="65">
        <f>Table12[[#This Row],[Frequency]]*Table12[[#This Row],[Severity]]*Table12[[#This Row],[Likelihood]]</f>
        <v>0</v>
      </c>
      <c r="N40" s="6"/>
      <c r="O40" s="4"/>
      <c r="P40" s="4"/>
      <c r="Q40" s="185"/>
      <c r="R40" s="5"/>
      <c r="S40" s="4"/>
      <c r="T40" s="4"/>
      <c r="U40" s="65"/>
      <c r="V40" s="86"/>
      <c r="W40" s="64"/>
      <c r="X40" s="64"/>
      <c r="Y40" s="66"/>
      <c r="Z40" s="66"/>
      <c r="AA40" s="4"/>
      <c r="AB40" s="84"/>
      <c r="AC40" s="65"/>
      <c r="AD40" s="87"/>
      <c r="AE40" s="67"/>
      <c r="AF40" s="67"/>
      <c r="AG40" s="67"/>
      <c r="AH40" s="67"/>
      <c r="AI40" s="67"/>
    </row>
    <row r="41" spans="1:35" s="68" customFormat="1" ht="23.25" x14ac:dyDescent="0.25">
      <c r="A41" s="3"/>
      <c r="B41" s="194"/>
      <c r="C41" s="4"/>
      <c r="D41" s="4"/>
      <c r="E41" s="4"/>
      <c r="F41" s="4"/>
      <c r="G41" s="4"/>
      <c r="H41" s="4"/>
      <c r="I41" s="4"/>
      <c r="J41" s="5"/>
      <c r="K41" s="4"/>
      <c r="L41" s="4"/>
      <c r="M41" s="65">
        <f>Table12[[#This Row],[Frequency]]*Table12[[#This Row],[Severity]]*Table12[[#This Row],[Likelihood]]</f>
        <v>0</v>
      </c>
      <c r="N41" s="6"/>
      <c r="O41" s="4"/>
      <c r="P41" s="4"/>
      <c r="Q41" s="185"/>
      <c r="R41" s="5"/>
      <c r="S41" s="4"/>
      <c r="T41" s="4"/>
      <c r="U41" s="65">
        <f>Table12[[#This Row],[Frequency After Control Measures]]*Table12[[#This Row],[Severity After Control Measures]]*Table12[[#This Row],[Likelihood After Control Measures]]</f>
        <v>0</v>
      </c>
      <c r="V41" s="86" t="str">
        <f t="shared" si="0"/>
        <v/>
      </c>
      <c r="W41" s="64"/>
      <c r="X41" s="64"/>
      <c r="Y41" s="66"/>
      <c r="Z41" s="66"/>
      <c r="AA41" s="4"/>
      <c r="AB41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41" s="65">
        <f>IF(Table12[[#This Row],[Action Closed]]="Yes",Table12[[#This Row],[Risk Score2]],Table12[[#This Row],[Risk Score]])</f>
        <v>0</v>
      </c>
      <c r="AD41" s="87">
        <f>IF(Table12[[#This Row],[Action Closed]]="Yes",Table12[[#This Row],[Severity After Control Measures]],Table12[[#This Row],[Severity]])</f>
        <v>0</v>
      </c>
      <c r="AE41" s="67"/>
      <c r="AF41" s="67"/>
      <c r="AG41" s="67"/>
      <c r="AH41" s="67"/>
      <c r="AI41" s="67"/>
    </row>
    <row r="42" spans="1:35" s="68" customFormat="1" ht="23.25" x14ac:dyDescent="0.25">
      <c r="A42" s="3"/>
      <c r="B42" s="194"/>
      <c r="C42" s="4"/>
      <c r="D42" s="4"/>
      <c r="E42" s="4"/>
      <c r="F42" s="4"/>
      <c r="G42" s="4"/>
      <c r="H42" s="4"/>
      <c r="I42" s="4"/>
      <c r="J42" s="5"/>
      <c r="K42" s="4"/>
      <c r="L42" s="4"/>
      <c r="M42" s="65">
        <f>Table12[[#This Row],[Frequency]]*Table12[[#This Row],[Severity]]*Table12[[#This Row],[Likelihood]]</f>
        <v>0</v>
      </c>
      <c r="N42" s="6"/>
      <c r="O42" s="4"/>
      <c r="P42" s="4"/>
      <c r="Q42" s="185"/>
      <c r="R42" s="5"/>
      <c r="S42" s="4"/>
      <c r="T42" s="4"/>
      <c r="U42" s="65">
        <f>Table12[[#This Row],[Frequency After Control Measures]]*Table12[[#This Row],[Severity After Control Measures]]*Table12[[#This Row],[Likelihood After Control Measures]]</f>
        <v>0</v>
      </c>
      <c r="V42" s="86" t="str">
        <f t="shared" si="0"/>
        <v/>
      </c>
      <c r="W42" s="64"/>
      <c r="X42" s="64"/>
      <c r="Y42" s="66"/>
      <c r="Z42" s="66"/>
      <c r="AA42" s="4"/>
      <c r="AB42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42" s="65">
        <f>IF(Table12[[#This Row],[Action Closed]]="Yes",Table12[[#This Row],[Risk Score2]],Table12[[#This Row],[Risk Score]])</f>
        <v>0</v>
      </c>
      <c r="AD42" s="87">
        <f>IF(Table12[[#This Row],[Action Closed]]="Yes",Table12[[#This Row],[Severity After Control Measures]],Table12[[#This Row],[Severity]])</f>
        <v>0</v>
      </c>
      <c r="AE42" s="67"/>
      <c r="AF42" s="67"/>
      <c r="AG42" s="67"/>
      <c r="AH42" s="67"/>
      <c r="AI42" s="67"/>
    </row>
    <row r="43" spans="1:35" s="68" customFormat="1" ht="23.25" x14ac:dyDescent="0.25">
      <c r="A43" s="3"/>
      <c r="B43" s="194"/>
      <c r="C43" s="4"/>
      <c r="D43" s="4"/>
      <c r="E43" s="4"/>
      <c r="F43" s="4"/>
      <c r="G43" s="4"/>
      <c r="H43" s="4"/>
      <c r="I43" s="4"/>
      <c r="J43" s="5"/>
      <c r="K43" s="4"/>
      <c r="L43" s="4"/>
      <c r="M43" s="65">
        <f>Table12[[#This Row],[Frequency]]*Table12[[#This Row],[Severity]]*Table12[[#This Row],[Likelihood]]</f>
        <v>0</v>
      </c>
      <c r="N43" s="6"/>
      <c r="O43" s="4"/>
      <c r="P43" s="4"/>
      <c r="Q43" s="185"/>
      <c r="R43" s="5"/>
      <c r="S43" s="4"/>
      <c r="T43" s="4"/>
      <c r="U43" s="65">
        <f>Table12[[#This Row],[Frequency After Control Measures]]*Table12[[#This Row],[Severity After Control Measures]]*Table12[[#This Row],[Likelihood After Control Measures]]</f>
        <v>0</v>
      </c>
      <c r="V43" s="86" t="str">
        <f t="shared" si="0"/>
        <v/>
      </c>
      <c r="W43" s="64"/>
      <c r="X43" s="64"/>
      <c r="Y43" s="66"/>
      <c r="Z43" s="66"/>
      <c r="AA43" s="4"/>
      <c r="AB43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43" s="65">
        <f>IF(Table12[[#This Row],[Action Closed]]="Yes",Table12[[#This Row],[Risk Score2]],Table12[[#This Row],[Risk Score]])</f>
        <v>0</v>
      </c>
      <c r="AD43" s="87">
        <f>IF(Table12[[#This Row],[Action Closed]]="Yes",Table12[[#This Row],[Severity After Control Measures]],Table12[[#This Row],[Severity]])</f>
        <v>0</v>
      </c>
      <c r="AE43" s="67"/>
      <c r="AF43" s="67"/>
      <c r="AG43" s="67"/>
      <c r="AH43" s="67"/>
      <c r="AI43" s="67"/>
    </row>
    <row r="44" spans="1:35" s="68" customFormat="1" ht="23.25" x14ac:dyDescent="0.25">
      <c r="A44" s="3"/>
      <c r="B44" s="194"/>
      <c r="C44" s="4"/>
      <c r="D44" s="4"/>
      <c r="E44" s="4"/>
      <c r="F44" s="4"/>
      <c r="G44" s="4"/>
      <c r="H44" s="4"/>
      <c r="I44" s="4"/>
      <c r="J44" s="5"/>
      <c r="K44" s="4"/>
      <c r="L44" s="4"/>
      <c r="M44" s="65">
        <f>Table12[[#This Row],[Frequency]]*Table12[[#This Row],[Severity]]*Table12[[#This Row],[Likelihood]]</f>
        <v>0</v>
      </c>
      <c r="N44" s="6"/>
      <c r="O44" s="4"/>
      <c r="P44" s="4"/>
      <c r="Q44" s="185"/>
      <c r="R44" s="5"/>
      <c r="S44" s="4"/>
      <c r="T44" s="4"/>
      <c r="U44" s="65">
        <f>Table12[[#This Row],[Frequency After Control Measures]]*Table12[[#This Row],[Severity After Control Measures]]*Table12[[#This Row],[Likelihood After Control Measures]]</f>
        <v>0</v>
      </c>
      <c r="V44" s="86" t="str">
        <f t="shared" si="0"/>
        <v/>
      </c>
      <c r="W44" s="64"/>
      <c r="X44" s="64"/>
      <c r="Y44" s="66"/>
      <c r="Z44" s="66"/>
      <c r="AA44" s="4"/>
      <c r="AB44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44" s="65">
        <f>IF(Table12[[#This Row],[Action Closed]]="Yes",Table12[[#This Row],[Risk Score2]],Table12[[#This Row],[Risk Score]])</f>
        <v>0</v>
      </c>
      <c r="AD44" s="87">
        <f>IF(Table12[[#This Row],[Action Closed]]="Yes",Table12[[#This Row],[Severity After Control Measures]],Table12[[#This Row],[Severity]])</f>
        <v>0</v>
      </c>
      <c r="AE44" s="67"/>
      <c r="AF44" s="67"/>
      <c r="AG44" s="67"/>
      <c r="AH44" s="67"/>
      <c r="AI44" s="67"/>
    </row>
    <row r="45" spans="1:35" s="68" customFormat="1" ht="23.25" x14ac:dyDescent="0.25">
      <c r="A45" s="3"/>
      <c r="B45" s="194"/>
      <c r="C45" s="4"/>
      <c r="D45" s="4"/>
      <c r="E45" s="4"/>
      <c r="F45" s="4"/>
      <c r="G45" s="4"/>
      <c r="H45" s="4"/>
      <c r="I45" s="4"/>
      <c r="J45" s="5"/>
      <c r="K45" s="4"/>
      <c r="L45" s="4"/>
      <c r="M45" s="65">
        <f>Table12[[#This Row],[Frequency]]*Table12[[#This Row],[Severity]]*Table12[[#This Row],[Likelihood]]</f>
        <v>0</v>
      </c>
      <c r="N45" s="6"/>
      <c r="O45" s="4"/>
      <c r="P45" s="4"/>
      <c r="Q45" s="185"/>
      <c r="R45" s="5"/>
      <c r="S45" s="4"/>
      <c r="T45" s="4"/>
      <c r="U45" s="65">
        <f>Table12[[#This Row],[Frequency After Control Measures]]*Table12[[#This Row],[Severity After Control Measures]]*Table12[[#This Row],[Likelihood After Control Measures]]</f>
        <v>0</v>
      </c>
      <c r="V45" s="86" t="str">
        <f t="shared" si="0"/>
        <v/>
      </c>
      <c r="W45" s="64"/>
      <c r="X45" s="64"/>
      <c r="Y45" s="66"/>
      <c r="Z45" s="66"/>
      <c r="AA45" s="4"/>
      <c r="AB45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45" s="65">
        <f>IF(Table12[[#This Row],[Action Closed]]="Yes",Table12[[#This Row],[Risk Score2]],Table12[[#This Row],[Risk Score]])</f>
        <v>0</v>
      </c>
      <c r="AD45" s="87">
        <f>IF(Table12[[#This Row],[Action Closed]]="Yes",Table12[[#This Row],[Severity After Control Measures]],Table12[[#This Row],[Severity]])</f>
        <v>0</v>
      </c>
      <c r="AE45" s="67"/>
      <c r="AF45" s="67"/>
      <c r="AG45" s="67"/>
      <c r="AH45" s="67"/>
      <c r="AI45" s="67"/>
    </row>
    <row r="46" spans="1:35" s="68" customFormat="1" ht="23.25" x14ac:dyDescent="0.25">
      <c r="A46" s="3"/>
      <c r="B46" s="194"/>
      <c r="C46" s="4"/>
      <c r="D46" s="4"/>
      <c r="E46" s="4"/>
      <c r="F46" s="4"/>
      <c r="G46" s="4"/>
      <c r="H46" s="4"/>
      <c r="I46" s="4"/>
      <c r="J46" s="5"/>
      <c r="K46" s="4"/>
      <c r="L46" s="4"/>
      <c r="M46" s="65">
        <f>Table12[[#This Row],[Frequency]]*Table12[[#This Row],[Severity]]*Table12[[#This Row],[Likelihood]]</f>
        <v>0</v>
      </c>
      <c r="N46" s="6"/>
      <c r="O46" s="4"/>
      <c r="P46" s="4"/>
      <c r="Q46" s="185"/>
      <c r="R46" s="5"/>
      <c r="S46" s="4"/>
      <c r="T46" s="4"/>
      <c r="U46" s="65">
        <f>Table12[[#This Row],[Frequency After Control Measures]]*Table12[[#This Row],[Severity After Control Measures]]*Table12[[#This Row],[Likelihood After Control Measures]]</f>
        <v>0</v>
      </c>
      <c r="V46" s="86" t="str">
        <f t="shared" si="0"/>
        <v/>
      </c>
      <c r="W46" s="64"/>
      <c r="X46" s="64"/>
      <c r="Y46" s="66"/>
      <c r="Z46" s="66"/>
      <c r="AA46" s="4"/>
      <c r="AB46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46" s="65">
        <f>IF(Table12[[#This Row],[Action Closed]]="Yes",Table12[[#This Row],[Risk Score2]],Table12[[#This Row],[Risk Score]])</f>
        <v>0</v>
      </c>
      <c r="AD46" s="87">
        <f>IF(Table12[[#This Row],[Action Closed]]="Yes",Table12[[#This Row],[Severity After Control Measures]],Table12[[#This Row],[Severity]])</f>
        <v>0</v>
      </c>
      <c r="AE46" s="67"/>
      <c r="AF46" s="67"/>
      <c r="AG46" s="67"/>
      <c r="AH46" s="67"/>
      <c r="AI46" s="67"/>
    </row>
    <row r="47" spans="1:35" s="68" customFormat="1" ht="23.25" x14ac:dyDescent="0.25">
      <c r="A47" s="3"/>
      <c r="B47" s="194"/>
      <c r="C47" s="4"/>
      <c r="D47" s="4"/>
      <c r="E47" s="4"/>
      <c r="F47" s="4"/>
      <c r="G47" s="4"/>
      <c r="H47" s="4"/>
      <c r="I47" s="4"/>
      <c r="J47" s="5"/>
      <c r="K47" s="4"/>
      <c r="L47" s="4"/>
      <c r="M47" s="65">
        <f>Table12[[#This Row],[Frequency]]*Table12[[#This Row],[Severity]]*Table12[[#This Row],[Likelihood]]</f>
        <v>0</v>
      </c>
      <c r="N47" s="6"/>
      <c r="O47" s="4"/>
      <c r="P47" s="4"/>
      <c r="Q47" s="185"/>
      <c r="R47" s="5"/>
      <c r="S47" s="4"/>
      <c r="T47" s="4"/>
      <c r="U47" s="65">
        <f>Table12[[#This Row],[Frequency After Control Measures]]*Table12[[#This Row],[Severity After Control Measures]]*Table12[[#This Row],[Likelihood After Control Measures]]</f>
        <v>0</v>
      </c>
      <c r="V47" s="86" t="str">
        <f t="shared" si="0"/>
        <v/>
      </c>
      <c r="W47" s="64"/>
      <c r="X47" s="64"/>
      <c r="Y47" s="66"/>
      <c r="Z47" s="66"/>
      <c r="AA47" s="4"/>
      <c r="AB47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47" s="65">
        <f>IF(Table12[[#This Row],[Action Closed]]="Yes",Table12[[#This Row],[Risk Score2]],Table12[[#This Row],[Risk Score]])</f>
        <v>0</v>
      </c>
      <c r="AD47" s="87">
        <f>IF(Table12[[#This Row],[Action Closed]]="Yes",Table12[[#This Row],[Severity After Control Measures]],Table12[[#This Row],[Severity]])</f>
        <v>0</v>
      </c>
      <c r="AE47" s="67"/>
      <c r="AF47" s="67"/>
      <c r="AG47" s="67"/>
      <c r="AH47" s="67"/>
      <c r="AI47" s="67"/>
    </row>
    <row r="48" spans="1:35" s="68" customFormat="1" ht="23.25" x14ac:dyDescent="0.25">
      <c r="A48" s="3"/>
      <c r="B48" s="194"/>
      <c r="C48" s="4"/>
      <c r="D48" s="4"/>
      <c r="E48" s="4"/>
      <c r="F48" s="4"/>
      <c r="G48" s="4"/>
      <c r="H48" s="4"/>
      <c r="I48" s="4"/>
      <c r="J48" s="5"/>
      <c r="K48" s="4"/>
      <c r="L48" s="4"/>
      <c r="M48" s="65">
        <f>Table12[[#This Row],[Frequency]]*Table12[[#This Row],[Severity]]*Table12[[#This Row],[Likelihood]]</f>
        <v>0</v>
      </c>
      <c r="N48" s="6"/>
      <c r="O48" s="4"/>
      <c r="P48" s="4"/>
      <c r="Q48" s="185"/>
      <c r="R48" s="5"/>
      <c r="S48" s="4"/>
      <c r="T48" s="4"/>
      <c r="U48" s="65">
        <f>Table12[[#This Row],[Frequency After Control Measures]]*Table12[[#This Row],[Severity After Control Measures]]*Table12[[#This Row],[Likelihood After Control Measures]]</f>
        <v>0</v>
      </c>
      <c r="V48" s="86" t="str">
        <f t="shared" si="0"/>
        <v/>
      </c>
      <c r="W48" s="64"/>
      <c r="X48" s="64"/>
      <c r="Y48" s="66"/>
      <c r="Z48" s="66"/>
      <c r="AA48" s="4"/>
      <c r="AB48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48" s="65">
        <f>IF(Table12[[#This Row],[Action Closed]]="Yes",Table12[[#This Row],[Risk Score2]],Table12[[#This Row],[Risk Score]])</f>
        <v>0</v>
      </c>
      <c r="AD48" s="87">
        <f>IF(Table12[[#This Row],[Action Closed]]="Yes",Table12[[#This Row],[Severity After Control Measures]],Table12[[#This Row],[Severity]])</f>
        <v>0</v>
      </c>
      <c r="AE48" s="67"/>
      <c r="AF48" s="67"/>
      <c r="AG48" s="67"/>
      <c r="AH48" s="67"/>
      <c r="AI48" s="67"/>
    </row>
    <row r="49" spans="1:35" s="68" customFormat="1" ht="23.25" x14ac:dyDescent="0.25">
      <c r="A49" s="3"/>
      <c r="B49" s="194"/>
      <c r="C49" s="4"/>
      <c r="D49" s="4"/>
      <c r="E49" s="4"/>
      <c r="F49" s="4"/>
      <c r="G49" s="4"/>
      <c r="H49" s="4"/>
      <c r="I49" s="4"/>
      <c r="J49" s="5"/>
      <c r="K49" s="4"/>
      <c r="L49" s="4"/>
      <c r="M49" s="65">
        <f>Table12[[#This Row],[Frequency]]*Table12[[#This Row],[Severity]]*Table12[[#This Row],[Likelihood]]</f>
        <v>0</v>
      </c>
      <c r="N49" s="6"/>
      <c r="O49" s="4"/>
      <c r="P49" s="4"/>
      <c r="Q49" s="185"/>
      <c r="R49" s="5"/>
      <c r="S49" s="4"/>
      <c r="T49" s="4"/>
      <c r="U49" s="65">
        <f>Table12[[#This Row],[Frequency After Control Measures]]*Table12[[#This Row],[Severity After Control Measures]]*Table12[[#This Row],[Likelihood After Control Measures]]</f>
        <v>0</v>
      </c>
      <c r="V49" s="86" t="str">
        <f t="shared" si="0"/>
        <v/>
      </c>
      <c r="W49" s="64"/>
      <c r="X49" s="64"/>
      <c r="Y49" s="66"/>
      <c r="Z49" s="66"/>
      <c r="AA49" s="4"/>
      <c r="AB49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49" s="65">
        <f>IF(Table12[[#This Row],[Action Closed]]="Yes",Table12[[#This Row],[Risk Score2]],Table12[[#This Row],[Risk Score]])</f>
        <v>0</v>
      </c>
      <c r="AD49" s="87">
        <f>IF(Table12[[#This Row],[Action Closed]]="Yes",Table12[[#This Row],[Severity After Control Measures]],Table12[[#This Row],[Severity]])</f>
        <v>0</v>
      </c>
      <c r="AE49" s="67"/>
      <c r="AF49" s="67"/>
      <c r="AG49" s="67"/>
      <c r="AH49" s="67"/>
      <c r="AI49" s="67"/>
    </row>
    <row r="50" spans="1:35" s="68" customFormat="1" ht="23.25" x14ac:dyDescent="0.25">
      <c r="A50" s="3"/>
      <c r="B50" s="194"/>
      <c r="C50" s="4"/>
      <c r="D50" s="4"/>
      <c r="E50" s="4"/>
      <c r="F50" s="4"/>
      <c r="G50" s="4"/>
      <c r="H50" s="4"/>
      <c r="I50" s="4"/>
      <c r="J50" s="5"/>
      <c r="K50" s="4"/>
      <c r="L50" s="4"/>
      <c r="M50" s="65">
        <f>Table12[[#This Row],[Frequency]]*Table12[[#This Row],[Severity]]*Table12[[#This Row],[Likelihood]]</f>
        <v>0</v>
      </c>
      <c r="N50" s="6"/>
      <c r="O50" s="4"/>
      <c r="P50" s="4"/>
      <c r="Q50" s="185"/>
      <c r="R50" s="5"/>
      <c r="S50" s="4"/>
      <c r="T50" s="4"/>
      <c r="U50" s="65">
        <f>Table12[[#This Row],[Frequency After Control Measures]]*Table12[[#This Row],[Severity After Control Measures]]*Table12[[#This Row],[Likelihood After Control Measures]]</f>
        <v>0</v>
      </c>
      <c r="V50" s="86" t="str">
        <f t="shared" si="0"/>
        <v/>
      </c>
      <c r="W50" s="64"/>
      <c r="X50" s="64"/>
      <c r="Y50" s="66"/>
      <c r="Z50" s="66"/>
      <c r="AA50" s="4"/>
      <c r="AB50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50" s="65">
        <f>IF(Table12[[#This Row],[Action Closed]]="Yes",Table12[[#This Row],[Risk Score2]],Table12[[#This Row],[Risk Score]])</f>
        <v>0</v>
      </c>
      <c r="AD50" s="87">
        <f>IF(Table12[[#This Row],[Action Closed]]="Yes",Table12[[#This Row],[Severity After Control Measures]],Table12[[#This Row],[Severity]])</f>
        <v>0</v>
      </c>
      <c r="AE50" s="67"/>
      <c r="AF50" s="67"/>
      <c r="AG50" s="67"/>
      <c r="AH50" s="67"/>
      <c r="AI50" s="67"/>
    </row>
    <row r="51" spans="1:35" s="68" customFormat="1" ht="23.25" x14ac:dyDescent="0.25">
      <c r="A51" s="3"/>
      <c r="B51" s="194"/>
      <c r="C51" s="4"/>
      <c r="D51" s="4"/>
      <c r="E51" s="4"/>
      <c r="F51" s="4"/>
      <c r="G51" s="4"/>
      <c r="H51" s="4"/>
      <c r="I51" s="4"/>
      <c r="J51" s="5"/>
      <c r="K51" s="4"/>
      <c r="L51" s="4"/>
      <c r="M51" s="65">
        <f>Table12[[#This Row],[Frequency]]*Table12[[#This Row],[Severity]]*Table12[[#This Row],[Likelihood]]</f>
        <v>0</v>
      </c>
      <c r="N51" s="6"/>
      <c r="O51" s="4"/>
      <c r="P51" s="4"/>
      <c r="Q51" s="185"/>
      <c r="R51" s="5"/>
      <c r="S51" s="4"/>
      <c r="T51" s="4"/>
      <c r="U51" s="65">
        <f>Table12[[#This Row],[Frequency After Control Measures]]*Table12[[#This Row],[Severity After Control Measures]]*Table12[[#This Row],[Likelihood After Control Measures]]</f>
        <v>0</v>
      </c>
      <c r="V51" s="86" t="str">
        <f t="shared" si="0"/>
        <v/>
      </c>
      <c r="W51" s="64"/>
      <c r="X51" s="64"/>
      <c r="Y51" s="66"/>
      <c r="Z51" s="66"/>
      <c r="AA51" s="4"/>
      <c r="AB51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51" s="65">
        <f>IF(Table12[[#This Row],[Action Closed]]="Yes",Table12[[#This Row],[Risk Score2]],Table12[[#This Row],[Risk Score]])</f>
        <v>0</v>
      </c>
      <c r="AD51" s="87">
        <f>IF(Table12[[#This Row],[Action Closed]]="Yes",Table12[[#This Row],[Severity After Control Measures]],Table12[[#This Row],[Severity]])</f>
        <v>0</v>
      </c>
      <c r="AE51" s="67"/>
      <c r="AF51" s="67"/>
      <c r="AG51" s="67"/>
      <c r="AH51" s="67"/>
      <c r="AI51" s="67"/>
    </row>
    <row r="52" spans="1:35" s="68" customFormat="1" ht="23.25" x14ac:dyDescent="0.25">
      <c r="A52" s="3"/>
      <c r="B52" s="194"/>
      <c r="C52" s="4"/>
      <c r="D52" s="4"/>
      <c r="E52" s="4"/>
      <c r="F52" s="4"/>
      <c r="G52" s="4"/>
      <c r="H52" s="4"/>
      <c r="I52" s="4"/>
      <c r="J52" s="5"/>
      <c r="K52" s="4"/>
      <c r="L52" s="4"/>
      <c r="M52" s="65">
        <f>Table12[[#This Row],[Frequency]]*Table12[[#This Row],[Severity]]*Table12[[#This Row],[Likelihood]]</f>
        <v>0</v>
      </c>
      <c r="N52" s="6"/>
      <c r="O52" s="4"/>
      <c r="P52" s="4"/>
      <c r="Q52" s="185"/>
      <c r="R52" s="5"/>
      <c r="S52" s="4"/>
      <c r="T52" s="4"/>
      <c r="U52" s="65">
        <f>Table12[[#This Row],[Frequency After Control Measures]]*Table12[[#This Row],[Severity After Control Measures]]*Table12[[#This Row],[Likelihood After Control Measures]]</f>
        <v>0</v>
      </c>
      <c r="V52" s="86" t="str">
        <f t="shared" si="0"/>
        <v/>
      </c>
      <c r="W52" s="64"/>
      <c r="X52" s="64"/>
      <c r="Y52" s="66"/>
      <c r="Z52" s="66"/>
      <c r="AA52" s="4"/>
      <c r="AB52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52" s="65">
        <f>IF(Table12[[#This Row],[Action Closed]]="Yes",Table12[[#This Row],[Risk Score2]],Table12[[#This Row],[Risk Score]])</f>
        <v>0</v>
      </c>
      <c r="AD52" s="87">
        <f>IF(Table12[[#This Row],[Action Closed]]="Yes",Table12[[#This Row],[Severity After Control Measures]],Table12[[#This Row],[Severity]])</f>
        <v>0</v>
      </c>
      <c r="AE52" s="67"/>
      <c r="AF52" s="67"/>
      <c r="AG52" s="67"/>
      <c r="AH52" s="67"/>
      <c r="AI52" s="67"/>
    </row>
    <row r="53" spans="1:35" s="68" customFormat="1" ht="23.25" x14ac:dyDescent="0.25">
      <c r="A53" s="3"/>
      <c r="B53" s="194"/>
      <c r="C53" s="4"/>
      <c r="D53" s="4"/>
      <c r="E53" s="4"/>
      <c r="F53" s="4"/>
      <c r="G53" s="4"/>
      <c r="H53" s="4"/>
      <c r="I53" s="4"/>
      <c r="J53" s="5"/>
      <c r="K53" s="4"/>
      <c r="L53" s="4"/>
      <c r="M53" s="65">
        <f>Table12[[#This Row],[Frequency]]*Table12[[#This Row],[Severity]]*Table12[[#This Row],[Likelihood]]</f>
        <v>0</v>
      </c>
      <c r="N53" s="6"/>
      <c r="O53" s="4"/>
      <c r="P53" s="4"/>
      <c r="Q53" s="185"/>
      <c r="R53" s="5"/>
      <c r="S53" s="4"/>
      <c r="T53" s="4"/>
      <c r="U53" s="65">
        <f>Table12[[#This Row],[Frequency After Control Measures]]*Table12[[#This Row],[Severity After Control Measures]]*Table12[[#This Row],[Likelihood After Control Measures]]</f>
        <v>0</v>
      </c>
      <c r="V53" s="86" t="str">
        <f t="shared" si="0"/>
        <v/>
      </c>
      <c r="W53" s="64"/>
      <c r="X53" s="64"/>
      <c r="Y53" s="66"/>
      <c r="Z53" s="66"/>
      <c r="AA53" s="4"/>
      <c r="AB53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53" s="65">
        <f>IF(Table12[[#This Row],[Action Closed]]="Yes",Table12[[#This Row],[Risk Score2]],Table12[[#This Row],[Risk Score]])</f>
        <v>0</v>
      </c>
      <c r="AD53" s="87">
        <f>IF(Table12[[#This Row],[Action Closed]]="Yes",Table12[[#This Row],[Severity After Control Measures]],Table12[[#This Row],[Severity]])</f>
        <v>0</v>
      </c>
      <c r="AE53" s="67"/>
      <c r="AF53" s="67"/>
      <c r="AG53" s="67"/>
      <c r="AH53" s="67"/>
      <c r="AI53" s="67"/>
    </row>
    <row r="54" spans="1:35" s="68" customFormat="1" ht="23.25" x14ac:dyDescent="0.25">
      <c r="A54" s="3"/>
      <c r="B54" s="194"/>
      <c r="C54" s="4"/>
      <c r="D54" s="4"/>
      <c r="E54" s="4"/>
      <c r="F54" s="4"/>
      <c r="G54" s="4"/>
      <c r="H54" s="4"/>
      <c r="I54" s="4"/>
      <c r="J54" s="5"/>
      <c r="K54" s="4"/>
      <c r="L54" s="4"/>
      <c r="M54" s="65">
        <f>Table12[[#This Row],[Frequency]]*Table12[[#This Row],[Severity]]*Table12[[#This Row],[Likelihood]]</f>
        <v>0</v>
      </c>
      <c r="N54" s="6"/>
      <c r="O54" s="4"/>
      <c r="P54" s="4"/>
      <c r="Q54" s="185"/>
      <c r="R54" s="5"/>
      <c r="S54" s="4"/>
      <c r="T54" s="4"/>
      <c r="U54" s="65">
        <f>Table12[[#This Row],[Frequency After Control Measures]]*Table12[[#This Row],[Severity After Control Measures]]*Table12[[#This Row],[Likelihood After Control Measures]]</f>
        <v>0</v>
      </c>
      <c r="V54" s="86" t="str">
        <f t="shared" si="0"/>
        <v/>
      </c>
      <c r="W54" s="64"/>
      <c r="X54" s="64"/>
      <c r="Y54" s="66"/>
      <c r="Z54" s="66"/>
      <c r="AA54" s="4"/>
      <c r="AB54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54" s="65">
        <f>IF(Table12[[#This Row],[Action Closed]]="Yes",Table12[[#This Row],[Risk Score2]],Table12[[#This Row],[Risk Score]])</f>
        <v>0</v>
      </c>
      <c r="AD54" s="87">
        <f>IF(Table12[[#This Row],[Action Closed]]="Yes",Table12[[#This Row],[Severity After Control Measures]],Table12[[#This Row],[Severity]])</f>
        <v>0</v>
      </c>
      <c r="AE54" s="67"/>
      <c r="AF54" s="67"/>
      <c r="AG54" s="67"/>
      <c r="AH54" s="67"/>
      <c r="AI54" s="67"/>
    </row>
    <row r="55" spans="1:35" s="68" customFormat="1" ht="23.25" x14ac:dyDescent="0.25">
      <c r="A55" s="3"/>
      <c r="B55" s="194"/>
      <c r="C55" s="4"/>
      <c r="D55" s="4"/>
      <c r="E55" s="4"/>
      <c r="F55" s="4"/>
      <c r="G55" s="4"/>
      <c r="H55" s="4"/>
      <c r="I55" s="4"/>
      <c r="J55" s="5"/>
      <c r="K55" s="4"/>
      <c r="L55" s="4"/>
      <c r="M55" s="65">
        <f>Table12[[#This Row],[Frequency]]*Table12[[#This Row],[Severity]]*Table12[[#This Row],[Likelihood]]</f>
        <v>0</v>
      </c>
      <c r="N55" s="6"/>
      <c r="O55" s="4"/>
      <c r="P55" s="4"/>
      <c r="Q55" s="185"/>
      <c r="R55" s="5"/>
      <c r="S55" s="4"/>
      <c r="T55" s="4"/>
      <c r="U55" s="65">
        <f>Table12[[#This Row],[Frequency After Control Measures]]*Table12[[#This Row],[Severity After Control Measures]]*Table12[[#This Row],[Likelihood After Control Measures]]</f>
        <v>0</v>
      </c>
      <c r="V55" s="86" t="str">
        <f t="shared" si="0"/>
        <v/>
      </c>
      <c r="W55" s="64"/>
      <c r="X55" s="64"/>
      <c r="Y55" s="66"/>
      <c r="Z55" s="66"/>
      <c r="AA55" s="4"/>
      <c r="AB55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55" s="65">
        <f>IF(Table12[[#This Row],[Action Closed]]="Yes",Table12[[#This Row],[Risk Score2]],Table12[[#This Row],[Risk Score]])</f>
        <v>0</v>
      </c>
      <c r="AD55" s="87">
        <f>IF(Table12[[#This Row],[Action Closed]]="Yes",Table12[[#This Row],[Severity After Control Measures]],Table12[[#This Row],[Severity]])</f>
        <v>0</v>
      </c>
      <c r="AE55" s="67"/>
      <c r="AF55" s="67"/>
      <c r="AG55" s="67"/>
      <c r="AH55" s="67"/>
      <c r="AI55" s="67"/>
    </row>
    <row r="56" spans="1:35" s="68" customFormat="1" ht="23.25" x14ac:dyDescent="0.25">
      <c r="A56" s="3"/>
      <c r="B56" s="194"/>
      <c r="C56" s="4"/>
      <c r="D56" s="4"/>
      <c r="E56" s="4"/>
      <c r="F56" s="4"/>
      <c r="G56" s="4"/>
      <c r="H56" s="4"/>
      <c r="I56" s="4"/>
      <c r="J56" s="5"/>
      <c r="K56" s="4"/>
      <c r="L56" s="4"/>
      <c r="M56" s="65">
        <f>Table12[[#This Row],[Frequency]]*Table12[[#This Row],[Severity]]*Table12[[#This Row],[Likelihood]]</f>
        <v>0</v>
      </c>
      <c r="N56" s="6"/>
      <c r="O56" s="4"/>
      <c r="P56" s="4"/>
      <c r="Q56" s="185"/>
      <c r="R56" s="5"/>
      <c r="S56" s="4"/>
      <c r="T56" s="4"/>
      <c r="U56" s="65">
        <f>Table12[[#This Row],[Frequency After Control Measures]]*Table12[[#This Row],[Severity After Control Measures]]*Table12[[#This Row],[Likelihood After Control Measures]]</f>
        <v>0</v>
      </c>
      <c r="V56" s="86" t="str">
        <f t="shared" si="0"/>
        <v/>
      </c>
      <c r="W56" s="64"/>
      <c r="X56" s="64"/>
      <c r="Y56" s="66"/>
      <c r="Z56" s="66"/>
      <c r="AA56" s="4"/>
      <c r="AB56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56" s="65">
        <f>IF(Table12[[#This Row],[Action Closed]]="Yes",Table12[[#This Row],[Risk Score2]],Table12[[#This Row],[Risk Score]])</f>
        <v>0</v>
      </c>
      <c r="AD56" s="87">
        <f>IF(Table12[[#This Row],[Action Closed]]="Yes",Table12[[#This Row],[Severity After Control Measures]],Table12[[#This Row],[Severity]])</f>
        <v>0</v>
      </c>
      <c r="AE56" s="67"/>
      <c r="AF56" s="67"/>
      <c r="AG56" s="67"/>
      <c r="AH56" s="67"/>
      <c r="AI56" s="67"/>
    </row>
    <row r="57" spans="1:35" s="68" customFormat="1" ht="23.25" x14ac:dyDescent="0.25">
      <c r="A57" s="3"/>
      <c r="B57" s="194"/>
      <c r="C57" s="4"/>
      <c r="D57" s="4"/>
      <c r="E57" s="4"/>
      <c r="F57" s="4"/>
      <c r="G57" s="4"/>
      <c r="H57" s="4"/>
      <c r="I57" s="4"/>
      <c r="J57" s="5"/>
      <c r="K57" s="4"/>
      <c r="L57" s="4"/>
      <c r="M57" s="65">
        <f>Table12[[#This Row],[Frequency]]*Table12[[#This Row],[Severity]]*Table12[[#This Row],[Likelihood]]</f>
        <v>0</v>
      </c>
      <c r="N57" s="6"/>
      <c r="O57" s="4"/>
      <c r="P57" s="4"/>
      <c r="Q57" s="185"/>
      <c r="R57" s="5"/>
      <c r="S57" s="4"/>
      <c r="T57" s="4"/>
      <c r="U57" s="65">
        <f>Table12[[#This Row],[Frequency After Control Measures]]*Table12[[#This Row],[Severity After Control Measures]]*Table12[[#This Row],[Likelihood After Control Measures]]</f>
        <v>0</v>
      </c>
      <c r="V57" s="86" t="str">
        <f t="shared" si="0"/>
        <v/>
      </c>
      <c r="W57" s="64"/>
      <c r="X57" s="64"/>
      <c r="Y57" s="66"/>
      <c r="Z57" s="66"/>
      <c r="AA57" s="4"/>
      <c r="AB57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57" s="65">
        <f>IF(Table12[[#This Row],[Action Closed]]="Yes",Table12[[#This Row],[Risk Score2]],Table12[[#This Row],[Risk Score]])</f>
        <v>0</v>
      </c>
      <c r="AD57" s="87">
        <f>IF(Table12[[#This Row],[Action Closed]]="Yes",Table12[[#This Row],[Severity After Control Measures]],Table12[[#This Row],[Severity]])</f>
        <v>0</v>
      </c>
      <c r="AE57" s="67"/>
      <c r="AF57" s="67"/>
      <c r="AG57" s="67"/>
      <c r="AH57" s="67"/>
      <c r="AI57" s="67"/>
    </row>
    <row r="58" spans="1:35" s="68" customFormat="1" ht="23.25" x14ac:dyDescent="0.25">
      <c r="A58" s="3"/>
      <c r="B58" s="194"/>
      <c r="C58" s="4"/>
      <c r="D58" s="4"/>
      <c r="E58" s="4"/>
      <c r="F58" s="4"/>
      <c r="G58" s="4"/>
      <c r="H58" s="4"/>
      <c r="I58" s="4"/>
      <c r="J58" s="5"/>
      <c r="K58" s="4"/>
      <c r="L58" s="4"/>
      <c r="M58" s="65">
        <f>Table12[[#This Row],[Frequency]]*Table12[[#This Row],[Severity]]*Table12[[#This Row],[Likelihood]]</f>
        <v>0</v>
      </c>
      <c r="N58" s="6"/>
      <c r="O58" s="4"/>
      <c r="P58" s="4"/>
      <c r="Q58" s="185"/>
      <c r="R58" s="5"/>
      <c r="S58" s="4"/>
      <c r="T58" s="4"/>
      <c r="U58" s="65">
        <f>Table12[[#This Row],[Frequency After Control Measures]]*Table12[[#This Row],[Severity After Control Measures]]*Table12[[#This Row],[Likelihood After Control Measures]]</f>
        <v>0</v>
      </c>
      <c r="V58" s="86" t="str">
        <f t="shared" si="0"/>
        <v/>
      </c>
      <c r="W58" s="64"/>
      <c r="X58" s="64"/>
      <c r="Y58" s="66"/>
      <c r="Z58" s="66"/>
      <c r="AA58" s="4"/>
      <c r="AB58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58" s="65">
        <f>IF(Table12[[#This Row],[Action Closed]]="Yes",Table12[[#This Row],[Risk Score2]],Table12[[#This Row],[Risk Score]])</f>
        <v>0</v>
      </c>
      <c r="AD58" s="87">
        <f>IF(Table12[[#This Row],[Action Closed]]="Yes",Table12[[#This Row],[Severity After Control Measures]],Table12[[#This Row],[Severity]])</f>
        <v>0</v>
      </c>
      <c r="AE58" s="67"/>
      <c r="AF58" s="67"/>
      <c r="AG58" s="67"/>
      <c r="AH58" s="67"/>
      <c r="AI58" s="67"/>
    </row>
    <row r="59" spans="1:35" s="68" customFormat="1" ht="23.25" x14ac:dyDescent="0.25">
      <c r="A59" s="3"/>
      <c r="B59" s="194"/>
      <c r="C59" s="4"/>
      <c r="D59" s="4"/>
      <c r="E59" s="4"/>
      <c r="F59" s="4"/>
      <c r="G59" s="4"/>
      <c r="H59" s="4"/>
      <c r="I59" s="4"/>
      <c r="J59" s="5"/>
      <c r="K59" s="4"/>
      <c r="L59" s="4"/>
      <c r="M59" s="65">
        <f>Table12[[#This Row],[Frequency]]*Table12[[#This Row],[Severity]]*Table12[[#This Row],[Likelihood]]</f>
        <v>0</v>
      </c>
      <c r="N59" s="6"/>
      <c r="O59" s="4"/>
      <c r="P59" s="4"/>
      <c r="Q59" s="185"/>
      <c r="R59" s="5"/>
      <c r="S59" s="4"/>
      <c r="T59" s="4"/>
      <c r="U59" s="65">
        <f>Table12[[#This Row],[Frequency After Control Measures]]*Table12[[#This Row],[Severity After Control Measures]]*Table12[[#This Row],[Likelihood After Control Measures]]</f>
        <v>0</v>
      </c>
      <c r="V59" s="86" t="str">
        <f t="shared" si="0"/>
        <v/>
      </c>
      <c r="W59" s="64"/>
      <c r="X59" s="64"/>
      <c r="Y59" s="66"/>
      <c r="Z59" s="66"/>
      <c r="AA59" s="4"/>
      <c r="AB59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59" s="65">
        <f>IF(Table12[[#This Row],[Action Closed]]="Yes",Table12[[#This Row],[Risk Score2]],Table12[[#This Row],[Risk Score]])</f>
        <v>0</v>
      </c>
      <c r="AD59" s="87">
        <f>IF(Table12[[#This Row],[Action Closed]]="Yes",Table12[[#This Row],[Severity After Control Measures]],Table12[[#This Row],[Severity]])</f>
        <v>0</v>
      </c>
      <c r="AE59" s="67"/>
      <c r="AF59" s="67"/>
      <c r="AG59" s="67"/>
      <c r="AH59" s="67"/>
      <c r="AI59" s="67"/>
    </row>
    <row r="60" spans="1:35" s="68" customFormat="1" ht="23.25" x14ac:dyDescent="0.25">
      <c r="A60" s="3"/>
      <c r="B60" s="194"/>
      <c r="C60" s="4"/>
      <c r="D60" s="4"/>
      <c r="E60" s="4"/>
      <c r="F60" s="4"/>
      <c r="G60" s="4"/>
      <c r="H60" s="4"/>
      <c r="I60" s="4"/>
      <c r="J60" s="5"/>
      <c r="K60" s="4"/>
      <c r="L60" s="4"/>
      <c r="M60" s="65">
        <f>Table12[[#This Row],[Frequency]]*Table12[[#This Row],[Severity]]*Table12[[#This Row],[Likelihood]]</f>
        <v>0</v>
      </c>
      <c r="N60" s="6"/>
      <c r="O60" s="4"/>
      <c r="P60" s="4"/>
      <c r="Q60" s="185"/>
      <c r="R60" s="5"/>
      <c r="S60" s="4"/>
      <c r="T60" s="4"/>
      <c r="U60" s="65">
        <f>Table12[[#This Row],[Frequency After Control Measures]]*Table12[[#This Row],[Severity After Control Measures]]*Table12[[#This Row],[Likelihood After Control Measures]]</f>
        <v>0</v>
      </c>
      <c r="V60" s="86" t="str">
        <f t="shared" si="0"/>
        <v/>
      </c>
      <c r="W60" s="64"/>
      <c r="X60" s="64"/>
      <c r="Y60" s="66"/>
      <c r="Z60" s="66"/>
      <c r="AA60" s="4"/>
      <c r="AB60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60" s="65">
        <f>IF(Table12[[#This Row],[Action Closed]]="Yes",Table12[[#This Row],[Risk Score2]],Table12[[#This Row],[Risk Score]])</f>
        <v>0</v>
      </c>
      <c r="AD60" s="87">
        <f>IF(Table12[[#This Row],[Action Closed]]="Yes",Table12[[#This Row],[Severity After Control Measures]],Table12[[#This Row],[Severity]])</f>
        <v>0</v>
      </c>
      <c r="AE60" s="67"/>
      <c r="AF60" s="67"/>
      <c r="AG60" s="67"/>
      <c r="AH60" s="67"/>
      <c r="AI60" s="67"/>
    </row>
    <row r="61" spans="1:35" s="68" customFormat="1" ht="23.25" x14ac:dyDescent="0.25">
      <c r="A61" s="3"/>
      <c r="B61" s="194"/>
      <c r="C61" s="4"/>
      <c r="D61" s="4"/>
      <c r="E61" s="4"/>
      <c r="F61" s="4"/>
      <c r="G61" s="4"/>
      <c r="H61" s="4"/>
      <c r="I61" s="4"/>
      <c r="J61" s="5"/>
      <c r="K61" s="4"/>
      <c r="L61" s="4"/>
      <c r="M61" s="65">
        <f>Table12[[#This Row],[Frequency]]*Table12[[#This Row],[Severity]]*Table12[[#This Row],[Likelihood]]</f>
        <v>0</v>
      </c>
      <c r="N61" s="6"/>
      <c r="O61" s="4"/>
      <c r="P61" s="4"/>
      <c r="Q61" s="185"/>
      <c r="R61" s="5"/>
      <c r="S61" s="4"/>
      <c r="T61" s="4"/>
      <c r="U61" s="65">
        <f>Table12[[#This Row],[Frequency After Control Measures]]*Table12[[#This Row],[Severity After Control Measures]]*Table12[[#This Row],[Likelihood After Control Measures]]</f>
        <v>0</v>
      </c>
      <c r="V61" s="86" t="str">
        <f t="shared" si="0"/>
        <v/>
      </c>
      <c r="W61" s="64"/>
      <c r="X61" s="64"/>
      <c r="Y61" s="66"/>
      <c r="Z61" s="66"/>
      <c r="AA61" s="4"/>
      <c r="AB61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61" s="65">
        <f>IF(Table12[[#This Row],[Action Closed]]="Yes",Table12[[#This Row],[Risk Score2]],Table12[[#This Row],[Risk Score]])</f>
        <v>0</v>
      </c>
      <c r="AD61" s="87">
        <f>IF(Table12[[#This Row],[Action Closed]]="Yes",Table12[[#This Row],[Severity After Control Measures]],Table12[[#This Row],[Severity]])</f>
        <v>0</v>
      </c>
      <c r="AE61" s="67"/>
      <c r="AF61" s="67"/>
      <c r="AG61" s="67"/>
      <c r="AH61" s="67"/>
      <c r="AI61" s="67"/>
    </row>
    <row r="62" spans="1:35" s="68" customFormat="1" ht="23.25" x14ac:dyDescent="0.25">
      <c r="A62" s="3"/>
      <c r="B62" s="194"/>
      <c r="C62" s="4"/>
      <c r="D62" s="4"/>
      <c r="E62" s="4"/>
      <c r="F62" s="4"/>
      <c r="G62" s="4"/>
      <c r="H62" s="4"/>
      <c r="I62" s="4"/>
      <c r="J62" s="5"/>
      <c r="K62" s="4"/>
      <c r="L62" s="4"/>
      <c r="M62" s="65">
        <f>Table12[[#This Row],[Frequency]]*Table12[[#This Row],[Severity]]*Table12[[#This Row],[Likelihood]]</f>
        <v>0</v>
      </c>
      <c r="N62" s="6"/>
      <c r="O62" s="4"/>
      <c r="P62" s="4"/>
      <c r="Q62" s="185"/>
      <c r="R62" s="5"/>
      <c r="S62" s="4"/>
      <c r="T62" s="4"/>
      <c r="U62" s="65">
        <f>Table12[[#This Row],[Frequency After Control Measures]]*Table12[[#This Row],[Severity After Control Measures]]*Table12[[#This Row],[Likelihood After Control Measures]]</f>
        <v>0</v>
      </c>
      <c r="V62" s="86" t="str">
        <f t="shared" si="0"/>
        <v/>
      </c>
      <c r="W62" s="64"/>
      <c r="X62" s="64"/>
      <c r="Y62" s="66"/>
      <c r="Z62" s="66"/>
      <c r="AA62" s="4"/>
      <c r="AB62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62" s="65">
        <f>IF(Table12[[#This Row],[Action Closed]]="Yes",Table12[[#This Row],[Risk Score2]],Table12[[#This Row],[Risk Score]])</f>
        <v>0</v>
      </c>
      <c r="AD62" s="87">
        <f>IF(Table12[[#This Row],[Action Closed]]="Yes",Table12[[#This Row],[Severity After Control Measures]],Table12[[#This Row],[Severity]])</f>
        <v>0</v>
      </c>
      <c r="AE62" s="67"/>
      <c r="AF62" s="67"/>
      <c r="AG62" s="67"/>
      <c r="AH62" s="67"/>
      <c r="AI62" s="67"/>
    </row>
    <row r="63" spans="1:35" s="68" customFormat="1" ht="23.25" x14ac:dyDescent="0.25">
      <c r="A63" s="3"/>
      <c r="B63" s="194"/>
      <c r="C63" s="4"/>
      <c r="D63" s="4"/>
      <c r="E63" s="4"/>
      <c r="F63" s="4"/>
      <c r="G63" s="4"/>
      <c r="H63" s="4"/>
      <c r="I63" s="4"/>
      <c r="J63" s="5"/>
      <c r="K63" s="4"/>
      <c r="L63" s="4"/>
      <c r="M63" s="65">
        <f>Table12[[#This Row],[Frequency]]*Table12[[#This Row],[Severity]]*Table12[[#This Row],[Likelihood]]</f>
        <v>0</v>
      </c>
      <c r="N63" s="6"/>
      <c r="O63" s="4"/>
      <c r="P63" s="4"/>
      <c r="Q63" s="185"/>
      <c r="R63" s="5"/>
      <c r="S63" s="4"/>
      <c r="T63" s="4"/>
      <c r="U63" s="65">
        <f>Table12[[#This Row],[Frequency After Control Measures]]*Table12[[#This Row],[Severity After Control Measures]]*Table12[[#This Row],[Likelihood After Control Measures]]</f>
        <v>0</v>
      </c>
      <c r="V63" s="86" t="str">
        <f t="shared" si="0"/>
        <v/>
      </c>
      <c r="W63" s="64"/>
      <c r="X63" s="64"/>
      <c r="Y63" s="66"/>
      <c r="Z63" s="66"/>
      <c r="AA63" s="4"/>
      <c r="AB63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63" s="65">
        <f>IF(Table12[[#This Row],[Action Closed]]="Yes",Table12[[#This Row],[Risk Score2]],Table12[[#This Row],[Risk Score]])</f>
        <v>0</v>
      </c>
      <c r="AD63" s="87">
        <f>IF(Table12[[#This Row],[Action Closed]]="Yes",Table12[[#This Row],[Severity After Control Measures]],Table12[[#This Row],[Severity]])</f>
        <v>0</v>
      </c>
      <c r="AE63" s="67"/>
      <c r="AF63" s="67"/>
      <c r="AG63" s="67"/>
      <c r="AH63" s="67"/>
      <c r="AI63" s="67"/>
    </row>
    <row r="64" spans="1:35" s="68" customFormat="1" ht="23.25" x14ac:dyDescent="0.25">
      <c r="A64" s="3"/>
      <c r="B64" s="194"/>
      <c r="C64" s="4"/>
      <c r="D64" s="4"/>
      <c r="E64" s="4"/>
      <c r="F64" s="4"/>
      <c r="G64" s="4"/>
      <c r="H64" s="4"/>
      <c r="I64" s="4"/>
      <c r="J64" s="5"/>
      <c r="K64" s="4"/>
      <c r="L64" s="4"/>
      <c r="M64" s="65">
        <f>Table12[[#This Row],[Frequency]]*Table12[[#This Row],[Severity]]*Table12[[#This Row],[Likelihood]]</f>
        <v>0</v>
      </c>
      <c r="N64" s="6"/>
      <c r="O64" s="4"/>
      <c r="P64" s="4"/>
      <c r="Q64" s="185"/>
      <c r="R64" s="5"/>
      <c r="S64" s="4"/>
      <c r="T64" s="4"/>
      <c r="U64" s="65">
        <f>Table12[[#This Row],[Frequency After Control Measures]]*Table12[[#This Row],[Severity After Control Measures]]*Table12[[#This Row],[Likelihood After Control Measures]]</f>
        <v>0</v>
      </c>
      <c r="V64" s="86" t="str">
        <f t="shared" si="0"/>
        <v/>
      </c>
      <c r="W64" s="64"/>
      <c r="X64" s="64"/>
      <c r="Y64" s="66"/>
      <c r="Z64" s="66"/>
      <c r="AA64" s="4"/>
      <c r="AB64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64" s="65">
        <f>IF(Table12[[#This Row],[Action Closed]]="Yes",Table12[[#This Row],[Risk Score2]],Table12[[#This Row],[Risk Score]])</f>
        <v>0</v>
      </c>
      <c r="AD64" s="87">
        <f>IF(Table12[[#This Row],[Action Closed]]="Yes",Table12[[#This Row],[Severity After Control Measures]],Table12[[#This Row],[Severity]])</f>
        <v>0</v>
      </c>
      <c r="AE64" s="67"/>
      <c r="AF64" s="67"/>
      <c r="AG64" s="67"/>
      <c r="AH64" s="67"/>
      <c r="AI64" s="67"/>
    </row>
    <row r="65" spans="1:35" s="68" customFormat="1" ht="23.25" x14ac:dyDescent="0.25">
      <c r="A65" s="3"/>
      <c r="B65" s="194"/>
      <c r="C65" s="4"/>
      <c r="D65" s="4"/>
      <c r="E65" s="4"/>
      <c r="F65" s="4"/>
      <c r="G65" s="4"/>
      <c r="H65" s="4"/>
      <c r="I65" s="4"/>
      <c r="J65" s="5"/>
      <c r="K65" s="4"/>
      <c r="L65" s="4"/>
      <c r="M65" s="65">
        <f>Table12[[#This Row],[Frequency]]*Table12[[#This Row],[Severity]]*Table12[[#This Row],[Likelihood]]</f>
        <v>0</v>
      </c>
      <c r="N65" s="6"/>
      <c r="O65" s="4"/>
      <c r="P65" s="4"/>
      <c r="Q65" s="185"/>
      <c r="R65" s="5"/>
      <c r="S65" s="4"/>
      <c r="T65" s="4"/>
      <c r="U65" s="65">
        <f>Table12[[#This Row],[Frequency After Control Measures]]*Table12[[#This Row],[Severity After Control Measures]]*Table12[[#This Row],[Likelihood After Control Measures]]</f>
        <v>0</v>
      </c>
      <c r="V65" s="86" t="str">
        <f t="shared" si="0"/>
        <v/>
      </c>
      <c r="W65" s="64"/>
      <c r="X65" s="64"/>
      <c r="Y65" s="66"/>
      <c r="Z65" s="66"/>
      <c r="AA65" s="4"/>
      <c r="AB65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65" s="65">
        <f>IF(Table12[[#This Row],[Action Closed]]="Yes",Table12[[#This Row],[Risk Score2]],Table12[[#This Row],[Risk Score]])</f>
        <v>0</v>
      </c>
      <c r="AD65" s="87">
        <f>IF(Table12[[#This Row],[Action Closed]]="Yes",Table12[[#This Row],[Severity After Control Measures]],Table12[[#This Row],[Severity]])</f>
        <v>0</v>
      </c>
      <c r="AE65" s="67"/>
      <c r="AF65" s="67"/>
      <c r="AG65" s="67"/>
      <c r="AH65" s="67"/>
      <c r="AI65" s="67"/>
    </row>
    <row r="66" spans="1:35" s="68" customFormat="1" ht="23.25" x14ac:dyDescent="0.25">
      <c r="A66" s="3"/>
      <c r="B66" s="194"/>
      <c r="C66" s="4"/>
      <c r="D66" s="4"/>
      <c r="E66" s="4"/>
      <c r="F66" s="4"/>
      <c r="G66" s="4"/>
      <c r="H66" s="4"/>
      <c r="I66" s="4"/>
      <c r="J66" s="5"/>
      <c r="K66" s="4"/>
      <c r="L66" s="4"/>
      <c r="M66" s="65">
        <f>Table12[[#This Row],[Frequency]]*Table12[[#This Row],[Severity]]*Table12[[#This Row],[Likelihood]]</f>
        <v>0</v>
      </c>
      <c r="N66" s="6"/>
      <c r="O66" s="4"/>
      <c r="P66" s="4"/>
      <c r="Q66" s="185"/>
      <c r="R66" s="5"/>
      <c r="S66" s="4"/>
      <c r="T66" s="4"/>
      <c r="U66" s="65">
        <f>Table12[[#This Row],[Frequency After Control Measures]]*Table12[[#This Row],[Severity After Control Measures]]*Table12[[#This Row],[Likelihood After Control Measures]]</f>
        <v>0</v>
      </c>
      <c r="V66" s="86" t="str">
        <f t="shared" si="0"/>
        <v/>
      </c>
      <c r="W66" s="64"/>
      <c r="X66" s="64"/>
      <c r="Y66" s="66"/>
      <c r="Z66" s="66"/>
      <c r="AA66" s="4"/>
      <c r="AB66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66" s="65">
        <f>IF(Table12[[#This Row],[Action Closed]]="Yes",Table12[[#This Row],[Risk Score2]],Table12[[#This Row],[Risk Score]])</f>
        <v>0</v>
      </c>
      <c r="AD66" s="87">
        <f>IF(Table12[[#This Row],[Action Closed]]="Yes",Table12[[#This Row],[Severity After Control Measures]],Table12[[#This Row],[Severity]])</f>
        <v>0</v>
      </c>
      <c r="AE66" s="67"/>
      <c r="AF66" s="67"/>
      <c r="AG66" s="67"/>
      <c r="AH66" s="67"/>
      <c r="AI66" s="67"/>
    </row>
    <row r="67" spans="1:35" s="68" customFormat="1" ht="23.25" x14ac:dyDescent="0.25">
      <c r="A67" s="3"/>
      <c r="B67" s="194"/>
      <c r="C67" s="4"/>
      <c r="D67" s="4"/>
      <c r="E67" s="4"/>
      <c r="F67" s="4"/>
      <c r="G67" s="4"/>
      <c r="H67" s="4"/>
      <c r="I67" s="4"/>
      <c r="J67" s="5"/>
      <c r="K67" s="4"/>
      <c r="L67" s="4"/>
      <c r="M67" s="65">
        <f>Table12[[#This Row],[Frequency]]*Table12[[#This Row],[Severity]]*Table12[[#This Row],[Likelihood]]</f>
        <v>0</v>
      </c>
      <c r="N67" s="6"/>
      <c r="O67" s="4"/>
      <c r="P67" s="4"/>
      <c r="Q67" s="185"/>
      <c r="R67" s="5"/>
      <c r="S67" s="4"/>
      <c r="T67" s="4"/>
      <c r="U67" s="65">
        <f>Table12[[#This Row],[Frequency After Control Measures]]*Table12[[#This Row],[Severity After Control Measures]]*Table12[[#This Row],[Likelihood After Control Measures]]</f>
        <v>0</v>
      </c>
      <c r="V67" s="86" t="str">
        <f t="shared" si="0"/>
        <v/>
      </c>
      <c r="W67" s="64"/>
      <c r="X67" s="64"/>
      <c r="Y67" s="66"/>
      <c r="Z67" s="66"/>
      <c r="AA67" s="4"/>
      <c r="AB67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67" s="65">
        <f>IF(Table12[[#This Row],[Action Closed]]="Yes",Table12[[#This Row],[Risk Score2]],Table12[[#This Row],[Risk Score]])</f>
        <v>0</v>
      </c>
      <c r="AD67" s="87">
        <f>IF(Table12[[#This Row],[Action Closed]]="Yes",Table12[[#This Row],[Severity After Control Measures]],Table12[[#This Row],[Severity]])</f>
        <v>0</v>
      </c>
      <c r="AE67" s="67"/>
      <c r="AF67" s="67"/>
      <c r="AG67" s="67"/>
      <c r="AH67" s="67"/>
      <c r="AI67" s="67"/>
    </row>
    <row r="68" spans="1:35" s="68" customFormat="1" ht="23.25" x14ac:dyDescent="0.25">
      <c r="A68" s="3"/>
      <c r="B68" s="194"/>
      <c r="C68" s="4"/>
      <c r="D68" s="4"/>
      <c r="E68" s="4"/>
      <c r="F68" s="4"/>
      <c r="G68" s="4"/>
      <c r="H68" s="4"/>
      <c r="I68" s="4"/>
      <c r="J68" s="5"/>
      <c r="K68" s="4"/>
      <c r="L68" s="4"/>
      <c r="M68" s="65">
        <f>Table12[[#This Row],[Frequency]]*Table12[[#This Row],[Severity]]*Table12[[#This Row],[Likelihood]]</f>
        <v>0</v>
      </c>
      <c r="N68" s="6"/>
      <c r="O68" s="4"/>
      <c r="P68" s="4"/>
      <c r="Q68" s="185"/>
      <c r="R68" s="5"/>
      <c r="S68" s="4"/>
      <c r="T68" s="4"/>
      <c r="U68" s="65">
        <f>Table12[[#This Row],[Frequency After Control Measures]]*Table12[[#This Row],[Severity After Control Measures]]*Table12[[#This Row],[Likelihood After Control Measures]]</f>
        <v>0</v>
      </c>
      <c r="V68" s="86" t="str">
        <f t="shared" si="0"/>
        <v/>
      </c>
      <c r="W68" s="64"/>
      <c r="X68" s="64"/>
      <c r="Y68" s="66"/>
      <c r="Z68" s="66"/>
      <c r="AA68" s="4"/>
      <c r="AB68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68" s="65">
        <f>IF(Table12[[#This Row],[Action Closed]]="Yes",Table12[[#This Row],[Risk Score2]],Table12[[#This Row],[Risk Score]])</f>
        <v>0</v>
      </c>
      <c r="AD68" s="87">
        <f>IF(Table12[[#This Row],[Action Closed]]="Yes",Table12[[#This Row],[Severity After Control Measures]],Table12[[#This Row],[Severity]])</f>
        <v>0</v>
      </c>
      <c r="AE68" s="67"/>
      <c r="AF68" s="67"/>
      <c r="AG68" s="67"/>
      <c r="AH68" s="67"/>
      <c r="AI68" s="67"/>
    </row>
    <row r="69" spans="1:35" s="68" customFormat="1" ht="23.25" x14ac:dyDescent="0.25">
      <c r="A69" s="3"/>
      <c r="B69" s="194"/>
      <c r="C69" s="4"/>
      <c r="D69" s="4"/>
      <c r="E69" s="4"/>
      <c r="F69" s="4"/>
      <c r="G69" s="4"/>
      <c r="H69" s="4"/>
      <c r="I69" s="4"/>
      <c r="J69" s="5"/>
      <c r="K69" s="4"/>
      <c r="L69" s="4"/>
      <c r="M69" s="65">
        <f>Table12[[#This Row],[Frequency]]*Table12[[#This Row],[Severity]]*Table12[[#This Row],[Likelihood]]</f>
        <v>0</v>
      </c>
      <c r="N69" s="6"/>
      <c r="O69" s="4"/>
      <c r="P69" s="4"/>
      <c r="Q69" s="185"/>
      <c r="R69" s="5"/>
      <c r="S69" s="4"/>
      <c r="T69" s="4"/>
      <c r="U69" s="65">
        <f>Table12[[#This Row],[Frequency After Control Measures]]*Table12[[#This Row],[Severity After Control Measures]]*Table12[[#This Row],[Likelihood After Control Measures]]</f>
        <v>0</v>
      </c>
      <c r="V69" s="86" t="str">
        <f t="shared" si="0"/>
        <v/>
      </c>
      <c r="W69" s="64"/>
      <c r="X69" s="64"/>
      <c r="Y69" s="66"/>
      <c r="Z69" s="66"/>
      <c r="AA69" s="4"/>
      <c r="AB69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69" s="65">
        <f>IF(Table12[[#This Row],[Action Closed]]="Yes",Table12[[#This Row],[Risk Score2]],Table12[[#This Row],[Risk Score]])</f>
        <v>0</v>
      </c>
      <c r="AD69" s="87">
        <f>IF(Table12[[#This Row],[Action Closed]]="Yes",Table12[[#This Row],[Severity After Control Measures]],Table12[[#This Row],[Severity]])</f>
        <v>0</v>
      </c>
      <c r="AE69" s="67"/>
      <c r="AF69" s="67"/>
      <c r="AG69" s="67"/>
      <c r="AH69" s="67"/>
      <c r="AI69" s="67"/>
    </row>
    <row r="70" spans="1:35" s="68" customFormat="1" ht="23.25" x14ac:dyDescent="0.25">
      <c r="A70" s="3"/>
      <c r="B70" s="194"/>
      <c r="C70" s="4"/>
      <c r="D70" s="4"/>
      <c r="E70" s="4"/>
      <c r="F70" s="4"/>
      <c r="G70" s="4"/>
      <c r="H70" s="4"/>
      <c r="I70" s="4"/>
      <c r="J70" s="5"/>
      <c r="K70" s="4"/>
      <c r="L70" s="4"/>
      <c r="M70" s="65">
        <f>Table12[[#This Row],[Frequency]]*Table12[[#This Row],[Severity]]*Table12[[#This Row],[Likelihood]]</f>
        <v>0</v>
      </c>
      <c r="N70" s="6"/>
      <c r="O70" s="4"/>
      <c r="P70" s="4"/>
      <c r="Q70" s="185"/>
      <c r="R70" s="5"/>
      <c r="S70" s="4"/>
      <c r="T70" s="4"/>
      <c r="U70" s="65">
        <f>Table12[[#This Row],[Frequency After Control Measures]]*Table12[[#This Row],[Severity After Control Measures]]*Table12[[#This Row],[Likelihood After Control Measures]]</f>
        <v>0</v>
      </c>
      <c r="V70" s="86" t="str">
        <f t="shared" si="0"/>
        <v/>
      </c>
      <c r="W70" s="64"/>
      <c r="X70" s="64"/>
      <c r="Y70" s="66"/>
      <c r="Z70" s="66"/>
      <c r="AA70" s="4"/>
      <c r="AB70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70" s="65">
        <f>IF(Table12[[#This Row],[Action Closed]]="Yes",Table12[[#This Row],[Risk Score2]],Table12[[#This Row],[Risk Score]])</f>
        <v>0</v>
      </c>
      <c r="AD70" s="87">
        <f>IF(Table12[[#This Row],[Action Closed]]="Yes",Table12[[#This Row],[Severity After Control Measures]],Table12[[#This Row],[Severity]])</f>
        <v>0</v>
      </c>
      <c r="AE70" s="67"/>
      <c r="AF70" s="67"/>
      <c r="AG70" s="67"/>
      <c r="AH70" s="67"/>
      <c r="AI70" s="67"/>
    </row>
    <row r="71" spans="1:35" s="68" customFormat="1" ht="23.25" x14ac:dyDescent="0.25">
      <c r="A71" s="3"/>
      <c r="B71" s="194"/>
      <c r="C71" s="4"/>
      <c r="D71" s="4"/>
      <c r="E71" s="4"/>
      <c r="F71" s="4"/>
      <c r="G71" s="4"/>
      <c r="H71" s="4"/>
      <c r="I71" s="4"/>
      <c r="J71" s="5"/>
      <c r="K71" s="4"/>
      <c r="L71" s="4"/>
      <c r="M71" s="65">
        <f>Table12[[#This Row],[Frequency]]*Table12[[#This Row],[Severity]]*Table12[[#This Row],[Likelihood]]</f>
        <v>0</v>
      </c>
      <c r="N71" s="6"/>
      <c r="O71" s="4"/>
      <c r="P71" s="4"/>
      <c r="Q71" s="185"/>
      <c r="R71" s="5"/>
      <c r="S71" s="4"/>
      <c r="T71" s="4"/>
      <c r="U71" s="65">
        <f>Table12[[#This Row],[Frequency After Control Measures]]*Table12[[#This Row],[Severity After Control Measures]]*Table12[[#This Row],[Likelihood After Control Measures]]</f>
        <v>0</v>
      </c>
      <c r="V71" s="86" t="str">
        <f t="shared" si="0"/>
        <v/>
      </c>
      <c r="W71" s="64"/>
      <c r="X71" s="64"/>
      <c r="Y71" s="66"/>
      <c r="Z71" s="66"/>
      <c r="AA71" s="4"/>
      <c r="AB71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71" s="65">
        <f>IF(Table12[[#This Row],[Action Closed]]="Yes",Table12[[#This Row],[Risk Score2]],Table12[[#This Row],[Risk Score]])</f>
        <v>0</v>
      </c>
      <c r="AD71" s="87">
        <f>IF(Table12[[#This Row],[Action Closed]]="Yes",Table12[[#This Row],[Severity After Control Measures]],Table12[[#This Row],[Severity]])</f>
        <v>0</v>
      </c>
      <c r="AE71" s="67"/>
      <c r="AF71" s="67"/>
      <c r="AG71" s="67"/>
      <c r="AH71" s="67"/>
      <c r="AI71" s="67"/>
    </row>
    <row r="72" spans="1:35" s="68" customFormat="1" ht="23.25" x14ac:dyDescent="0.25">
      <c r="A72" s="3"/>
      <c r="B72" s="194"/>
      <c r="C72" s="4"/>
      <c r="D72" s="4"/>
      <c r="E72" s="4"/>
      <c r="F72" s="4"/>
      <c r="G72" s="4"/>
      <c r="H72" s="4"/>
      <c r="I72" s="4"/>
      <c r="J72" s="5"/>
      <c r="K72" s="4"/>
      <c r="L72" s="4"/>
      <c r="M72" s="65">
        <f>Table12[[#This Row],[Frequency]]*Table12[[#This Row],[Severity]]*Table12[[#This Row],[Likelihood]]</f>
        <v>0</v>
      </c>
      <c r="N72" s="6"/>
      <c r="O72" s="4"/>
      <c r="P72" s="4"/>
      <c r="Q72" s="185"/>
      <c r="R72" s="5"/>
      <c r="S72" s="4"/>
      <c r="T72" s="4"/>
      <c r="U72" s="65">
        <f>Table12[[#This Row],[Frequency After Control Measures]]*Table12[[#This Row],[Severity After Control Measures]]*Table12[[#This Row],[Likelihood After Control Measures]]</f>
        <v>0</v>
      </c>
      <c r="V72" s="86" t="str">
        <f t="shared" si="0"/>
        <v/>
      </c>
      <c r="W72" s="64"/>
      <c r="X72" s="64"/>
      <c r="Y72" s="66"/>
      <c r="Z72" s="66"/>
      <c r="AA72" s="4"/>
      <c r="AB72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72" s="65">
        <f>IF(Table12[[#This Row],[Action Closed]]="Yes",Table12[[#This Row],[Risk Score2]],Table12[[#This Row],[Risk Score]])</f>
        <v>0</v>
      </c>
      <c r="AD72" s="87">
        <f>IF(Table12[[#This Row],[Action Closed]]="Yes",Table12[[#This Row],[Severity After Control Measures]],Table12[[#This Row],[Severity]])</f>
        <v>0</v>
      </c>
      <c r="AE72" s="67"/>
      <c r="AF72" s="67"/>
      <c r="AG72" s="67"/>
      <c r="AH72" s="67"/>
      <c r="AI72" s="67"/>
    </row>
    <row r="73" spans="1:35" s="68" customFormat="1" ht="23.25" x14ac:dyDescent="0.25">
      <c r="A73" s="3"/>
      <c r="B73" s="194"/>
      <c r="C73" s="4"/>
      <c r="D73" s="4"/>
      <c r="E73" s="4"/>
      <c r="F73" s="4"/>
      <c r="G73" s="4"/>
      <c r="H73" s="4"/>
      <c r="I73" s="4"/>
      <c r="J73" s="5"/>
      <c r="K73" s="4"/>
      <c r="L73" s="4"/>
      <c r="M73" s="65">
        <f>Table12[[#This Row],[Frequency]]*Table12[[#This Row],[Severity]]*Table12[[#This Row],[Likelihood]]</f>
        <v>0</v>
      </c>
      <c r="N73" s="6"/>
      <c r="O73" s="4"/>
      <c r="P73" s="4"/>
      <c r="Q73" s="185"/>
      <c r="R73" s="5"/>
      <c r="S73" s="4"/>
      <c r="T73" s="4"/>
      <c r="U73" s="65">
        <f>Table12[[#This Row],[Frequency After Control Measures]]*Table12[[#This Row],[Severity After Control Measures]]*Table12[[#This Row],[Likelihood After Control Measures]]</f>
        <v>0</v>
      </c>
      <c r="V73" s="86" t="str">
        <f t="shared" si="0"/>
        <v/>
      </c>
      <c r="W73" s="64"/>
      <c r="X73" s="64"/>
      <c r="Y73" s="66"/>
      <c r="Z73" s="66"/>
      <c r="AA73" s="4"/>
      <c r="AB73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73" s="65">
        <f>IF(Table12[[#This Row],[Action Closed]]="Yes",Table12[[#This Row],[Risk Score2]],Table12[[#This Row],[Risk Score]])</f>
        <v>0</v>
      </c>
      <c r="AD73" s="87">
        <f>IF(Table12[[#This Row],[Action Closed]]="Yes",Table12[[#This Row],[Severity After Control Measures]],Table12[[#This Row],[Severity]])</f>
        <v>0</v>
      </c>
      <c r="AE73" s="67"/>
      <c r="AF73" s="67"/>
      <c r="AG73" s="67"/>
      <c r="AH73" s="67"/>
      <c r="AI73" s="67"/>
    </row>
    <row r="74" spans="1:35" s="68" customFormat="1" ht="23.25" x14ac:dyDescent="0.25">
      <c r="A74" s="3"/>
      <c r="B74" s="194"/>
      <c r="C74" s="4"/>
      <c r="D74" s="4"/>
      <c r="E74" s="4"/>
      <c r="F74" s="4"/>
      <c r="G74" s="4"/>
      <c r="H74" s="4"/>
      <c r="I74" s="4"/>
      <c r="J74" s="5"/>
      <c r="K74" s="4"/>
      <c r="L74" s="4"/>
      <c r="M74" s="65">
        <f>Table12[[#This Row],[Frequency]]*Table12[[#This Row],[Severity]]*Table12[[#This Row],[Likelihood]]</f>
        <v>0</v>
      </c>
      <c r="N74" s="6"/>
      <c r="O74" s="4"/>
      <c r="P74" s="4"/>
      <c r="Q74" s="185"/>
      <c r="R74" s="5"/>
      <c r="S74" s="4"/>
      <c r="T74" s="4"/>
      <c r="U74" s="65">
        <f>Table12[[#This Row],[Frequency After Control Measures]]*Table12[[#This Row],[Severity After Control Measures]]*Table12[[#This Row],[Likelihood After Control Measures]]</f>
        <v>0</v>
      </c>
      <c r="V74" s="86" t="str">
        <f t="shared" si="0"/>
        <v/>
      </c>
      <c r="W74" s="64"/>
      <c r="X74" s="64"/>
      <c r="Y74" s="66"/>
      <c r="Z74" s="66"/>
      <c r="AA74" s="4"/>
      <c r="AB74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74" s="65">
        <f>IF(Table12[[#This Row],[Action Closed]]="Yes",Table12[[#This Row],[Risk Score2]],Table12[[#This Row],[Risk Score]])</f>
        <v>0</v>
      </c>
      <c r="AD74" s="87">
        <f>IF(Table12[[#This Row],[Action Closed]]="Yes",Table12[[#This Row],[Severity After Control Measures]],Table12[[#This Row],[Severity]])</f>
        <v>0</v>
      </c>
      <c r="AE74" s="67"/>
      <c r="AF74" s="67"/>
      <c r="AG74" s="67"/>
      <c r="AH74" s="67"/>
      <c r="AI74" s="67"/>
    </row>
    <row r="75" spans="1:35" s="68" customFormat="1" ht="23.25" x14ac:dyDescent="0.25">
      <c r="A75" s="3"/>
      <c r="B75" s="194"/>
      <c r="C75" s="4"/>
      <c r="D75" s="4"/>
      <c r="E75" s="4"/>
      <c r="F75" s="4"/>
      <c r="G75" s="4"/>
      <c r="H75" s="4"/>
      <c r="I75" s="4"/>
      <c r="J75" s="5"/>
      <c r="K75" s="4"/>
      <c r="L75" s="4"/>
      <c r="M75" s="65">
        <f>Table12[[#This Row],[Frequency]]*Table12[[#This Row],[Severity]]*Table12[[#This Row],[Likelihood]]</f>
        <v>0</v>
      </c>
      <c r="N75" s="6"/>
      <c r="O75" s="4"/>
      <c r="P75" s="4"/>
      <c r="Q75" s="185"/>
      <c r="R75" s="5"/>
      <c r="S75" s="4"/>
      <c r="T75" s="4"/>
      <c r="U75" s="65">
        <f>Table12[[#This Row],[Frequency After Control Measures]]*Table12[[#This Row],[Severity After Control Measures]]*Table12[[#This Row],[Likelihood After Control Measures]]</f>
        <v>0</v>
      </c>
      <c r="V75" s="86" t="str">
        <f t="shared" si="0"/>
        <v/>
      </c>
      <c r="W75" s="64"/>
      <c r="X75" s="64"/>
      <c r="Y75" s="66"/>
      <c r="Z75" s="66"/>
      <c r="AA75" s="4"/>
      <c r="AB75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75" s="65">
        <f>IF(Table12[[#This Row],[Action Closed]]="Yes",Table12[[#This Row],[Risk Score2]],Table12[[#This Row],[Risk Score]])</f>
        <v>0</v>
      </c>
      <c r="AD75" s="87">
        <f>IF(Table12[[#This Row],[Action Closed]]="Yes",Table12[[#This Row],[Severity After Control Measures]],Table12[[#This Row],[Severity]])</f>
        <v>0</v>
      </c>
      <c r="AE75" s="67"/>
      <c r="AF75" s="67"/>
      <c r="AG75" s="67"/>
      <c r="AH75" s="67"/>
      <c r="AI75" s="67"/>
    </row>
    <row r="76" spans="1:35" s="68" customFormat="1" ht="23.25" x14ac:dyDescent="0.25">
      <c r="A76" s="3"/>
      <c r="B76" s="194"/>
      <c r="C76" s="4"/>
      <c r="D76" s="4"/>
      <c r="E76" s="4"/>
      <c r="F76" s="4"/>
      <c r="G76" s="4"/>
      <c r="H76" s="4"/>
      <c r="I76" s="4"/>
      <c r="J76" s="5"/>
      <c r="K76" s="4"/>
      <c r="L76" s="4"/>
      <c r="M76" s="65">
        <f>Table12[[#This Row],[Frequency]]*Table12[[#This Row],[Severity]]*Table12[[#This Row],[Likelihood]]</f>
        <v>0</v>
      </c>
      <c r="N76" s="6"/>
      <c r="O76" s="4"/>
      <c r="P76" s="4"/>
      <c r="Q76" s="185"/>
      <c r="R76" s="5"/>
      <c r="S76" s="4"/>
      <c r="T76" s="4"/>
      <c r="U76" s="65">
        <f>Table12[[#This Row],[Frequency After Control Measures]]*Table12[[#This Row],[Severity After Control Measures]]*Table12[[#This Row],[Likelihood After Control Measures]]</f>
        <v>0</v>
      </c>
      <c r="V76" s="86" t="str">
        <f t="shared" si="0"/>
        <v/>
      </c>
      <c r="W76" s="64"/>
      <c r="X76" s="64"/>
      <c r="Y76" s="66"/>
      <c r="Z76" s="66"/>
      <c r="AA76" s="4"/>
      <c r="AB76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76" s="65">
        <f>IF(Table12[[#This Row],[Action Closed]]="Yes",Table12[[#This Row],[Risk Score2]],Table12[[#This Row],[Risk Score]])</f>
        <v>0</v>
      </c>
      <c r="AD76" s="87">
        <f>IF(Table12[[#This Row],[Action Closed]]="Yes",Table12[[#This Row],[Severity After Control Measures]],Table12[[#This Row],[Severity]])</f>
        <v>0</v>
      </c>
      <c r="AE76" s="67"/>
      <c r="AF76" s="67"/>
      <c r="AG76" s="67"/>
      <c r="AH76" s="67"/>
      <c r="AI76" s="67"/>
    </row>
    <row r="77" spans="1:35" s="68" customFormat="1" ht="23.25" x14ac:dyDescent="0.25">
      <c r="A77" s="3"/>
      <c r="B77" s="194"/>
      <c r="C77" s="4"/>
      <c r="D77" s="4"/>
      <c r="E77" s="4"/>
      <c r="F77" s="4"/>
      <c r="G77" s="4"/>
      <c r="H77" s="4"/>
      <c r="I77" s="4"/>
      <c r="J77" s="5"/>
      <c r="K77" s="4"/>
      <c r="L77" s="4"/>
      <c r="M77" s="65">
        <f>Table12[[#This Row],[Frequency]]*Table12[[#This Row],[Severity]]*Table12[[#This Row],[Likelihood]]</f>
        <v>0</v>
      </c>
      <c r="N77" s="6"/>
      <c r="O77" s="4"/>
      <c r="P77" s="4"/>
      <c r="Q77" s="185"/>
      <c r="R77" s="5"/>
      <c r="S77" s="4"/>
      <c r="T77" s="4"/>
      <c r="U77" s="65">
        <f>Table12[[#This Row],[Frequency After Control Measures]]*Table12[[#This Row],[Severity After Control Measures]]*Table12[[#This Row],[Likelihood After Control Measures]]</f>
        <v>0</v>
      </c>
      <c r="V77" s="86" t="str">
        <f t="shared" si="0"/>
        <v/>
      </c>
      <c r="W77" s="64"/>
      <c r="X77" s="64"/>
      <c r="Y77" s="66"/>
      <c r="Z77" s="66"/>
      <c r="AA77" s="4"/>
      <c r="AB77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77" s="65">
        <f>IF(Table12[[#This Row],[Action Closed]]="Yes",Table12[[#This Row],[Risk Score2]],Table12[[#This Row],[Risk Score]])</f>
        <v>0</v>
      </c>
      <c r="AD77" s="87">
        <f>IF(Table12[[#This Row],[Action Closed]]="Yes",Table12[[#This Row],[Severity After Control Measures]],Table12[[#This Row],[Severity]])</f>
        <v>0</v>
      </c>
      <c r="AE77" s="67"/>
      <c r="AF77" s="67"/>
      <c r="AG77" s="67"/>
      <c r="AH77" s="67"/>
      <c r="AI77" s="67"/>
    </row>
    <row r="78" spans="1:35" s="68" customFormat="1" ht="23.25" x14ac:dyDescent="0.25">
      <c r="A78" s="3"/>
      <c r="B78" s="194"/>
      <c r="C78" s="4"/>
      <c r="D78" s="4"/>
      <c r="E78" s="4"/>
      <c r="F78" s="4"/>
      <c r="G78" s="4"/>
      <c r="H78" s="4"/>
      <c r="I78" s="4"/>
      <c r="J78" s="5"/>
      <c r="K78" s="4"/>
      <c r="L78" s="4"/>
      <c r="M78" s="65">
        <f>Table12[[#This Row],[Frequency]]*Table12[[#This Row],[Severity]]*Table12[[#This Row],[Likelihood]]</f>
        <v>0</v>
      </c>
      <c r="N78" s="6"/>
      <c r="O78" s="4"/>
      <c r="P78" s="4"/>
      <c r="Q78" s="185"/>
      <c r="R78" s="5"/>
      <c r="S78" s="4"/>
      <c r="T78" s="4"/>
      <c r="U78" s="65">
        <f>Table12[[#This Row],[Frequency After Control Measures]]*Table12[[#This Row],[Severity After Control Measures]]*Table12[[#This Row],[Likelihood After Control Measures]]</f>
        <v>0</v>
      </c>
      <c r="V78" s="86" t="str">
        <f t="shared" si="0"/>
        <v/>
      </c>
      <c r="W78" s="64"/>
      <c r="X78" s="64"/>
      <c r="Y78" s="66"/>
      <c r="Z78" s="66"/>
      <c r="AA78" s="4"/>
      <c r="AB78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78" s="65">
        <f>IF(Table12[[#This Row],[Action Closed]]="Yes",Table12[[#This Row],[Risk Score2]],Table12[[#This Row],[Risk Score]])</f>
        <v>0</v>
      </c>
      <c r="AD78" s="87">
        <f>IF(Table12[[#This Row],[Action Closed]]="Yes",Table12[[#This Row],[Severity After Control Measures]],Table12[[#This Row],[Severity]])</f>
        <v>0</v>
      </c>
      <c r="AE78" s="67"/>
      <c r="AF78" s="67"/>
      <c r="AG78" s="67"/>
      <c r="AH78" s="67"/>
      <c r="AI78" s="67"/>
    </row>
    <row r="79" spans="1:35" s="68" customFormat="1" ht="23.25" x14ac:dyDescent="0.25">
      <c r="A79" s="3"/>
      <c r="B79" s="194"/>
      <c r="C79" s="4"/>
      <c r="D79" s="4"/>
      <c r="E79" s="4"/>
      <c r="F79" s="4"/>
      <c r="G79" s="4"/>
      <c r="H79" s="4"/>
      <c r="I79" s="4"/>
      <c r="J79" s="5"/>
      <c r="K79" s="4"/>
      <c r="L79" s="4"/>
      <c r="M79" s="65">
        <f>Table12[[#This Row],[Frequency]]*Table12[[#This Row],[Severity]]*Table12[[#This Row],[Likelihood]]</f>
        <v>0</v>
      </c>
      <c r="N79" s="6"/>
      <c r="O79" s="4"/>
      <c r="P79" s="4"/>
      <c r="Q79" s="185"/>
      <c r="R79" s="5"/>
      <c r="S79" s="4"/>
      <c r="T79" s="4"/>
      <c r="U79" s="65">
        <f>Table12[[#This Row],[Frequency After Control Measures]]*Table12[[#This Row],[Severity After Control Measures]]*Table12[[#This Row],[Likelihood After Control Measures]]</f>
        <v>0</v>
      </c>
      <c r="V79" s="86" t="str">
        <f t="shared" si="0"/>
        <v/>
      </c>
      <c r="W79" s="64"/>
      <c r="X79" s="64"/>
      <c r="Y79" s="66"/>
      <c r="Z79" s="66"/>
      <c r="AA79" s="4"/>
      <c r="AB79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79" s="65">
        <f>IF(Table12[[#This Row],[Action Closed]]="Yes",Table12[[#This Row],[Risk Score2]],Table12[[#This Row],[Risk Score]])</f>
        <v>0</v>
      </c>
      <c r="AD79" s="87">
        <f>IF(Table12[[#This Row],[Action Closed]]="Yes",Table12[[#This Row],[Severity After Control Measures]],Table12[[#This Row],[Severity]])</f>
        <v>0</v>
      </c>
      <c r="AE79" s="67"/>
      <c r="AF79" s="67"/>
      <c r="AG79" s="67"/>
      <c r="AH79" s="67"/>
      <c r="AI79" s="67"/>
    </row>
    <row r="80" spans="1:35" s="68" customFormat="1" ht="23.25" x14ac:dyDescent="0.25">
      <c r="A80" s="3"/>
      <c r="B80" s="194"/>
      <c r="C80" s="4"/>
      <c r="D80" s="4"/>
      <c r="E80" s="4"/>
      <c r="F80" s="4"/>
      <c r="G80" s="4"/>
      <c r="H80" s="4"/>
      <c r="I80" s="4"/>
      <c r="J80" s="5"/>
      <c r="K80" s="4"/>
      <c r="L80" s="4"/>
      <c r="M80" s="65">
        <f>Table12[[#This Row],[Frequency]]*Table12[[#This Row],[Severity]]*Table12[[#This Row],[Likelihood]]</f>
        <v>0</v>
      </c>
      <c r="N80" s="6"/>
      <c r="O80" s="4"/>
      <c r="P80" s="4"/>
      <c r="Q80" s="185"/>
      <c r="R80" s="5"/>
      <c r="S80" s="4"/>
      <c r="T80" s="4"/>
      <c r="U80" s="65">
        <f>Table12[[#This Row],[Frequency After Control Measures]]*Table12[[#This Row],[Severity After Control Measures]]*Table12[[#This Row],[Likelihood After Control Measures]]</f>
        <v>0</v>
      </c>
      <c r="V80" s="86" t="str">
        <f t="shared" si="0"/>
        <v/>
      </c>
      <c r="W80" s="64"/>
      <c r="X80" s="64"/>
      <c r="Y80" s="66"/>
      <c r="Z80" s="66"/>
      <c r="AA80" s="4"/>
      <c r="AB80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80" s="65">
        <f>IF(Table12[[#This Row],[Action Closed]]="Yes",Table12[[#This Row],[Risk Score2]],Table12[[#This Row],[Risk Score]])</f>
        <v>0</v>
      </c>
      <c r="AD80" s="87">
        <f>IF(Table12[[#This Row],[Action Closed]]="Yes",Table12[[#This Row],[Severity After Control Measures]],Table12[[#This Row],[Severity]])</f>
        <v>0</v>
      </c>
      <c r="AE80" s="67"/>
      <c r="AF80" s="67"/>
      <c r="AG80" s="67"/>
      <c r="AH80" s="67"/>
      <c r="AI80" s="67"/>
    </row>
    <row r="81" spans="1:35" s="68" customFormat="1" ht="23.25" x14ac:dyDescent="0.25">
      <c r="A81" s="3"/>
      <c r="B81" s="194"/>
      <c r="C81" s="4"/>
      <c r="D81" s="4"/>
      <c r="E81" s="4"/>
      <c r="F81" s="4"/>
      <c r="G81" s="4"/>
      <c r="H81" s="4"/>
      <c r="I81" s="4"/>
      <c r="J81" s="5"/>
      <c r="K81" s="4"/>
      <c r="L81" s="4"/>
      <c r="M81" s="65">
        <f>Table12[[#This Row],[Frequency]]*Table12[[#This Row],[Severity]]*Table12[[#This Row],[Likelihood]]</f>
        <v>0</v>
      </c>
      <c r="N81" s="6"/>
      <c r="O81" s="4"/>
      <c r="P81" s="4"/>
      <c r="Q81" s="185"/>
      <c r="R81" s="5"/>
      <c r="S81" s="4"/>
      <c r="T81" s="4"/>
      <c r="U81" s="65">
        <f>Table12[[#This Row],[Frequency After Control Measures]]*Table12[[#This Row],[Severity After Control Measures]]*Table12[[#This Row],[Likelihood After Control Measures]]</f>
        <v>0</v>
      </c>
      <c r="V81" s="86" t="str">
        <f t="shared" si="0"/>
        <v/>
      </c>
      <c r="W81" s="64"/>
      <c r="X81" s="64"/>
      <c r="Y81" s="66"/>
      <c r="Z81" s="66"/>
      <c r="AA81" s="4"/>
      <c r="AB81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81" s="65">
        <f>IF(Table12[[#This Row],[Action Closed]]="Yes",Table12[[#This Row],[Risk Score2]],Table12[[#This Row],[Risk Score]])</f>
        <v>0</v>
      </c>
      <c r="AD81" s="87">
        <f>IF(Table12[[#This Row],[Action Closed]]="Yes",Table12[[#This Row],[Severity After Control Measures]],Table12[[#This Row],[Severity]])</f>
        <v>0</v>
      </c>
      <c r="AE81" s="67"/>
      <c r="AF81" s="67"/>
      <c r="AG81" s="67"/>
      <c r="AH81" s="67"/>
      <c r="AI81" s="67"/>
    </row>
    <row r="82" spans="1:35" s="68" customFormat="1" ht="23.25" x14ac:dyDescent="0.25">
      <c r="A82" s="3"/>
      <c r="B82" s="194"/>
      <c r="C82" s="4"/>
      <c r="D82" s="4"/>
      <c r="E82" s="4"/>
      <c r="F82" s="4"/>
      <c r="G82" s="4"/>
      <c r="H82" s="4"/>
      <c r="I82" s="4"/>
      <c r="J82" s="5"/>
      <c r="K82" s="4"/>
      <c r="L82" s="4"/>
      <c r="M82" s="65">
        <f>Table12[[#This Row],[Frequency]]*Table12[[#This Row],[Severity]]*Table12[[#This Row],[Likelihood]]</f>
        <v>0</v>
      </c>
      <c r="N82" s="6"/>
      <c r="O82" s="4"/>
      <c r="P82" s="4"/>
      <c r="Q82" s="185"/>
      <c r="R82" s="5"/>
      <c r="S82" s="4"/>
      <c r="T82" s="4"/>
      <c r="U82" s="65">
        <f>Table12[[#This Row],[Frequency After Control Measures]]*Table12[[#This Row],[Severity After Control Measures]]*Table12[[#This Row],[Likelihood After Control Measures]]</f>
        <v>0</v>
      </c>
      <c r="V82" s="86" t="str">
        <f t="shared" si="0"/>
        <v/>
      </c>
      <c r="W82" s="64"/>
      <c r="X82" s="64"/>
      <c r="Y82" s="66"/>
      <c r="Z82" s="66"/>
      <c r="AA82" s="4"/>
      <c r="AB82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82" s="65">
        <f>IF(Table12[[#This Row],[Action Closed]]="Yes",Table12[[#This Row],[Risk Score2]],Table12[[#This Row],[Risk Score]])</f>
        <v>0</v>
      </c>
      <c r="AD82" s="87">
        <f>IF(Table12[[#This Row],[Action Closed]]="Yes",Table12[[#This Row],[Severity After Control Measures]],Table12[[#This Row],[Severity]])</f>
        <v>0</v>
      </c>
      <c r="AE82" s="67"/>
      <c r="AF82" s="67"/>
      <c r="AG82" s="67"/>
      <c r="AH82" s="67"/>
      <c r="AI82" s="67"/>
    </row>
    <row r="83" spans="1:35" s="68" customFormat="1" ht="23.25" x14ac:dyDescent="0.25">
      <c r="A83" s="3"/>
      <c r="B83" s="194"/>
      <c r="C83" s="4"/>
      <c r="D83" s="4"/>
      <c r="E83" s="4"/>
      <c r="F83" s="4"/>
      <c r="G83" s="4"/>
      <c r="H83" s="4"/>
      <c r="I83" s="4"/>
      <c r="J83" s="5"/>
      <c r="K83" s="4"/>
      <c r="L83" s="4"/>
      <c r="M83" s="65">
        <f>Table12[[#This Row],[Frequency]]*Table12[[#This Row],[Severity]]*Table12[[#This Row],[Likelihood]]</f>
        <v>0</v>
      </c>
      <c r="N83" s="6"/>
      <c r="O83" s="4"/>
      <c r="P83" s="4"/>
      <c r="Q83" s="185"/>
      <c r="R83" s="5"/>
      <c r="S83" s="4"/>
      <c r="T83" s="4"/>
      <c r="U83" s="65">
        <f>Table12[[#This Row],[Frequency After Control Measures]]*Table12[[#This Row],[Severity After Control Measures]]*Table12[[#This Row],[Likelihood After Control Measures]]</f>
        <v>0</v>
      </c>
      <c r="V83" s="86" t="str">
        <f t="shared" si="0"/>
        <v/>
      </c>
      <c r="W83" s="64"/>
      <c r="X83" s="64"/>
      <c r="Y83" s="66"/>
      <c r="Z83" s="66"/>
      <c r="AA83" s="4"/>
      <c r="AB83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83" s="65">
        <f>IF(Table12[[#This Row],[Action Closed]]="Yes",Table12[[#This Row],[Risk Score2]],Table12[[#This Row],[Risk Score]])</f>
        <v>0</v>
      </c>
      <c r="AD83" s="87">
        <f>IF(Table12[[#This Row],[Action Closed]]="Yes",Table12[[#This Row],[Severity After Control Measures]],Table12[[#This Row],[Severity]])</f>
        <v>0</v>
      </c>
      <c r="AE83" s="67"/>
      <c r="AF83" s="67"/>
      <c r="AG83" s="67"/>
      <c r="AH83" s="67"/>
      <c r="AI83" s="67"/>
    </row>
    <row r="84" spans="1:35" s="68" customFormat="1" ht="23.25" x14ac:dyDescent="0.25">
      <c r="A84" s="3"/>
      <c r="B84" s="194"/>
      <c r="C84" s="4"/>
      <c r="D84" s="4"/>
      <c r="E84" s="4"/>
      <c r="F84" s="4"/>
      <c r="G84" s="4"/>
      <c r="H84" s="4"/>
      <c r="I84" s="4"/>
      <c r="J84" s="5"/>
      <c r="K84" s="4"/>
      <c r="L84" s="4"/>
      <c r="M84" s="65">
        <f>Table12[[#This Row],[Frequency]]*Table12[[#This Row],[Severity]]*Table12[[#This Row],[Likelihood]]</f>
        <v>0</v>
      </c>
      <c r="N84" s="6"/>
      <c r="O84" s="4"/>
      <c r="P84" s="4"/>
      <c r="Q84" s="185"/>
      <c r="R84" s="5"/>
      <c r="S84" s="4"/>
      <c r="T84" s="4"/>
      <c r="U84" s="65">
        <f>Table12[[#This Row],[Frequency After Control Measures]]*Table12[[#This Row],[Severity After Control Measures]]*Table12[[#This Row],[Likelihood After Control Measures]]</f>
        <v>0</v>
      </c>
      <c r="V84" s="86" t="str">
        <f t="shared" si="0"/>
        <v/>
      </c>
      <c r="W84" s="64"/>
      <c r="X84" s="64"/>
      <c r="Y84" s="66"/>
      <c r="Z84" s="66"/>
      <c r="AA84" s="4"/>
      <c r="AB84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84" s="65">
        <f>IF(Table12[[#This Row],[Action Closed]]="Yes",Table12[[#This Row],[Risk Score2]],Table12[[#This Row],[Risk Score]])</f>
        <v>0</v>
      </c>
      <c r="AD84" s="87">
        <f>IF(Table12[[#This Row],[Action Closed]]="Yes",Table12[[#This Row],[Severity After Control Measures]],Table12[[#This Row],[Severity]])</f>
        <v>0</v>
      </c>
      <c r="AE84" s="67"/>
      <c r="AF84" s="67"/>
      <c r="AG84" s="67"/>
      <c r="AH84" s="67"/>
      <c r="AI84" s="67"/>
    </row>
    <row r="85" spans="1:35" s="68" customFormat="1" ht="23.25" x14ac:dyDescent="0.25">
      <c r="A85" s="3"/>
      <c r="B85" s="194"/>
      <c r="C85" s="4"/>
      <c r="D85" s="4"/>
      <c r="E85" s="4"/>
      <c r="F85" s="4"/>
      <c r="G85" s="4"/>
      <c r="H85" s="4"/>
      <c r="I85" s="4"/>
      <c r="J85" s="5"/>
      <c r="K85" s="4"/>
      <c r="L85" s="4"/>
      <c r="M85" s="65">
        <f>Table12[[#This Row],[Frequency]]*Table12[[#This Row],[Severity]]*Table12[[#This Row],[Likelihood]]</f>
        <v>0</v>
      </c>
      <c r="N85" s="6"/>
      <c r="O85" s="4"/>
      <c r="P85" s="4"/>
      <c r="Q85" s="185"/>
      <c r="R85" s="5"/>
      <c r="S85" s="4"/>
      <c r="T85" s="4"/>
      <c r="U85" s="65">
        <f>Table12[[#This Row],[Frequency After Control Measures]]*Table12[[#This Row],[Severity After Control Measures]]*Table12[[#This Row],[Likelihood After Control Measures]]</f>
        <v>0</v>
      </c>
      <c r="V85" s="86" t="str">
        <f t="shared" si="0"/>
        <v/>
      </c>
      <c r="W85" s="64"/>
      <c r="X85" s="64"/>
      <c r="Y85" s="66"/>
      <c r="Z85" s="66"/>
      <c r="AA85" s="4"/>
      <c r="AB85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85" s="65">
        <f>IF(Table12[[#This Row],[Action Closed]]="Yes",Table12[[#This Row],[Risk Score2]],Table12[[#This Row],[Risk Score]])</f>
        <v>0</v>
      </c>
      <c r="AD85" s="87">
        <f>IF(Table12[[#This Row],[Action Closed]]="Yes",Table12[[#This Row],[Severity After Control Measures]],Table12[[#This Row],[Severity]])</f>
        <v>0</v>
      </c>
      <c r="AE85" s="67"/>
      <c r="AF85" s="67"/>
      <c r="AG85" s="67"/>
      <c r="AH85" s="67"/>
      <c r="AI85" s="67"/>
    </row>
    <row r="86" spans="1:35" s="68" customFormat="1" ht="23.25" x14ac:dyDescent="0.25">
      <c r="A86" s="3"/>
      <c r="B86" s="194"/>
      <c r="C86" s="4"/>
      <c r="D86" s="4"/>
      <c r="E86" s="4"/>
      <c r="F86" s="4"/>
      <c r="G86" s="4"/>
      <c r="H86" s="4"/>
      <c r="I86" s="4"/>
      <c r="J86" s="5"/>
      <c r="K86" s="4"/>
      <c r="L86" s="4"/>
      <c r="M86" s="65">
        <f>Table12[[#This Row],[Frequency]]*Table12[[#This Row],[Severity]]*Table12[[#This Row],[Likelihood]]</f>
        <v>0</v>
      </c>
      <c r="N86" s="6"/>
      <c r="O86" s="4"/>
      <c r="P86" s="4"/>
      <c r="Q86" s="185"/>
      <c r="R86" s="5"/>
      <c r="S86" s="4"/>
      <c r="T86" s="4"/>
      <c r="U86" s="65">
        <f>Table12[[#This Row],[Frequency After Control Measures]]*Table12[[#This Row],[Severity After Control Measures]]*Table12[[#This Row],[Likelihood After Control Measures]]</f>
        <v>0</v>
      </c>
      <c r="V86" s="86" t="str">
        <f t="shared" si="0"/>
        <v/>
      </c>
      <c r="W86" s="64"/>
      <c r="X86" s="64"/>
      <c r="Y86" s="66"/>
      <c r="Z86" s="66"/>
      <c r="AA86" s="4"/>
      <c r="AB86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86" s="65">
        <f>IF(Table12[[#This Row],[Action Closed]]="Yes",Table12[[#This Row],[Risk Score2]],Table12[[#This Row],[Risk Score]])</f>
        <v>0</v>
      </c>
      <c r="AD86" s="87">
        <f>IF(Table12[[#This Row],[Action Closed]]="Yes",Table12[[#This Row],[Severity After Control Measures]],Table12[[#This Row],[Severity]])</f>
        <v>0</v>
      </c>
      <c r="AE86" s="67"/>
      <c r="AF86" s="67"/>
      <c r="AG86" s="67"/>
      <c r="AH86" s="67"/>
      <c r="AI86" s="67"/>
    </row>
    <row r="87" spans="1:35" s="68" customFormat="1" ht="23.25" x14ac:dyDescent="0.25">
      <c r="A87" s="3"/>
      <c r="B87" s="194"/>
      <c r="C87" s="4"/>
      <c r="D87" s="4"/>
      <c r="E87" s="4"/>
      <c r="F87" s="4"/>
      <c r="G87" s="4"/>
      <c r="H87" s="4"/>
      <c r="I87" s="4"/>
      <c r="J87" s="5"/>
      <c r="K87" s="4"/>
      <c r="L87" s="4"/>
      <c r="M87" s="65">
        <f>Table12[[#This Row],[Frequency]]*Table12[[#This Row],[Severity]]*Table12[[#This Row],[Likelihood]]</f>
        <v>0</v>
      </c>
      <c r="N87" s="6"/>
      <c r="O87" s="4"/>
      <c r="P87" s="4"/>
      <c r="Q87" s="185"/>
      <c r="R87" s="5"/>
      <c r="S87" s="4"/>
      <c r="T87" s="4"/>
      <c r="U87" s="65">
        <f>Table12[[#This Row],[Frequency After Control Measures]]*Table12[[#This Row],[Severity After Control Measures]]*Table12[[#This Row],[Likelihood After Control Measures]]</f>
        <v>0</v>
      </c>
      <c r="V87" s="86" t="str">
        <f t="shared" si="0"/>
        <v/>
      </c>
      <c r="W87" s="64"/>
      <c r="X87" s="64"/>
      <c r="Y87" s="66"/>
      <c r="Z87" s="66"/>
      <c r="AA87" s="4"/>
      <c r="AB87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87" s="65">
        <f>IF(Table12[[#This Row],[Action Closed]]="Yes",Table12[[#This Row],[Risk Score2]],Table12[[#This Row],[Risk Score]])</f>
        <v>0</v>
      </c>
      <c r="AD87" s="87">
        <f>IF(Table12[[#This Row],[Action Closed]]="Yes",Table12[[#This Row],[Severity After Control Measures]],Table12[[#This Row],[Severity]])</f>
        <v>0</v>
      </c>
      <c r="AE87" s="67"/>
      <c r="AF87" s="67"/>
      <c r="AG87" s="67"/>
      <c r="AH87" s="67"/>
      <c r="AI87" s="67"/>
    </row>
    <row r="88" spans="1:35" s="68" customFormat="1" ht="23.25" x14ac:dyDescent="0.25">
      <c r="A88" s="3"/>
      <c r="B88" s="194"/>
      <c r="C88" s="4"/>
      <c r="D88" s="4"/>
      <c r="E88" s="4"/>
      <c r="F88" s="4"/>
      <c r="G88" s="4"/>
      <c r="H88" s="4"/>
      <c r="I88" s="4"/>
      <c r="J88" s="5"/>
      <c r="K88" s="4"/>
      <c r="L88" s="4"/>
      <c r="M88" s="65">
        <f>Table12[[#This Row],[Frequency]]*Table12[[#This Row],[Severity]]*Table12[[#This Row],[Likelihood]]</f>
        <v>0</v>
      </c>
      <c r="N88" s="6"/>
      <c r="O88" s="4"/>
      <c r="P88" s="4"/>
      <c r="Q88" s="185"/>
      <c r="R88" s="5"/>
      <c r="S88" s="4"/>
      <c r="T88" s="4"/>
      <c r="U88" s="65">
        <f>Table12[[#This Row],[Frequency After Control Measures]]*Table12[[#This Row],[Severity After Control Measures]]*Table12[[#This Row],[Likelihood After Control Measures]]</f>
        <v>0</v>
      </c>
      <c r="V88" s="86" t="str">
        <f t="shared" si="0"/>
        <v/>
      </c>
      <c r="W88" s="64"/>
      <c r="X88" s="64"/>
      <c r="Y88" s="66"/>
      <c r="Z88" s="66"/>
      <c r="AA88" s="4"/>
      <c r="AB88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88" s="65">
        <f>IF(Table12[[#This Row],[Action Closed]]="Yes",Table12[[#This Row],[Risk Score2]],Table12[[#This Row],[Risk Score]])</f>
        <v>0</v>
      </c>
      <c r="AD88" s="87">
        <f>IF(Table12[[#This Row],[Action Closed]]="Yes",Table12[[#This Row],[Severity After Control Measures]],Table12[[#This Row],[Severity]])</f>
        <v>0</v>
      </c>
      <c r="AE88" s="67"/>
      <c r="AF88" s="67"/>
      <c r="AG88" s="67"/>
      <c r="AH88" s="67"/>
      <c r="AI88" s="67"/>
    </row>
    <row r="89" spans="1:35" s="68" customFormat="1" ht="23.25" x14ac:dyDescent="0.25">
      <c r="A89" s="3"/>
      <c r="B89" s="194"/>
      <c r="C89" s="4"/>
      <c r="D89" s="4"/>
      <c r="E89" s="4"/>
      <c r="F89" s="4"/>
      <c r="G89" s="4"/>
      <c r="H89" s="4"/>
      <c r="I89" s="4"/>
      <c r="J89" s="5"/>
      <c r="K89" s="4"/>
      <c r="L89" s="4"/>
      <c r="M89" s="65">
        <f>Table12[[#This Row],[Frequency]]*Table12[[#This Row],[Severity]]*Table12[[#This Row],[Likelihood]]</f>
        <v>0</v>
      </c>
      <c r="N89" s="6"/>
      <c r="O89" s="4"/>
      <c r="P89" s="4"/>
      <c r="Q89" s="185"/>
      <c r="R89" s="5"/>
      <c r="S89" s="4"/>
      <c r="T89" s="4"/>
      <c r="U89" s="65">
        <f>Table12[[#This Row],[Frequency After Control Measures]]*Table12[[#This Row],[Severity After Control Measures]]*Table12[[#This Row],[Likelihood After Control Measures]]</f>
        <v>0</v>
      </c>
      <c r="V89" s="86" t="str">
        <f t="shared" si="0"/>
        <v/>
      </c>
      <c r="W89" s="64"/>
      <c r="X89" s="64"/>
      <c r="Y89" s="66"/>
      <c r="Z89" s="66"/>
      <c r="AA89" s="4"/>
      <c r="AB89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89" s="65">
        <f>IF(Table12[[#This Row],[Action Closed]]="Yes",Table12[[#This Row],[Risk Score2]],Table12[[#This Row],[Risk Score]])</f>
        <v>0</v>
      </c>
      <c r="AD89" s="87">
        <f>IF(Table12[[#This Row],[Action Closed]]="Yes",Table12[[#This Row],[Severity After Control Measures]],Table12[[#This Row],[Severity]])</f>
        <v>0</v>
      </c>
      <c r="AE89" s="67"/>
      <c r="AF89" s="67"/>
      <c r="AG89" s="67"/>
      <c r="AH89" s="67"/>
      <c r="AI89" s="67"/>
    </row>
    <row r="90" spans="1:35" s="68" customFormat="1" ht="23.25" x14ac:dyDescent="0.25">
      <c r="A90" s="3"/>
      <c r="B90" s="194"/>
      <c r="C90" s="4"/>
      <c r="D90" s="4"/>
      <c r="E90" s="4"/>
      <c r="F90" s="4"/>
      <c r="G90" s="4"/>
      <c r="H90" s="4"/>
      <c r="I90" s="4"/>
      <c r="J90" s="5"/>
      <c r="K90" s="4"/>
      <c r="L90" s="4"/>
      <c r="M90" s="65">
        <f>Table12[[#This Row],[Frequency]]*Table12[[#This Row],[Severity]]*Table12[[#This Row],[Likelihood]]</f>
        <v>0</v>
      </c>
      <c r="N90" s="6"/>
      <c r="O90" s="4"/>
      <c r="P90" s="4"/>
      <c r="Q90" s="185"/>
      <c r="R90" s="5"/>
      <c r="S90" s="4"/>
      <c r="T90" s="4"/>
      <c r="U90" s="65">
        <f>Table12[[#This Row],[Frequency After Control Measures]]*Table12[[#This Row],[Severity After Control Measures]]*Table12[[#This Row],[Likelihood After Control Measures]]</f>
        <v>0</v>
      </c>
      <c r="V90" s="86" t="str">
        <f t="shared" si="0"/>
        <v/>
      </c>
      <c r="W90" s="64"/>
      <c r="X90" s="64"/>
      <c r="Y90" s="66"/>
      <c r="Z90" s="66"/>
      <c r="AA90" s="4"/>
      <c r="AB90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90" s="65">
        <f>IF(Table12[[#This Row],[Action Closed]]="Yes",Table12[[#This Row],[Risk Score2]],Table12[[#This Row],[Risk Score]])</f>
        <v>0</v>
      </c>
      <c r="AD90" s="87">
        <f>IF(Table12[[#This Row],[Action Closed]]="Yes",Table12[[#This Row],[Severity After Control Measures]],Table12[[#This Row],[Severity]])</f>
        <v>0</v>
      </c>
      <c r="AE90" s="67"/>
      <c r="AF90" s="67"/>
      <c r="AG90" s="67"/>
      <c r="AH90" s="67"/>
      <c r="AI90" s="67"/>
    </row>
    <row r="91" spans="1:35" s="68" customFormat="1" ht="23.25" x14ac:dyDescent="0.25">
      <c r="A91" s="3"/>
      <c r="B91" s="194"/>
      <c r="C91" s="4"/>
      <c r="D91" s="4"/>
      <c r="E91" s="4"/>
      <c r="F91" s="4"/>
      <c r="G91" s="4"/>
      <c r="H91" s="4"/>
      <c r="I91" s="4"/>
      <c r="J91" s="5"/>
      <c r="K91" s="4"/>
      <c r="L91" s="4"/>
      <c r="M91" s="65">
        <f>Table12[[#This Row],[Frequency]]*Table12[[#This Row],[Severity]]*Table12[[#This Row],[Likelihood]]</f>
        <v>0</v>
      </c>
      <c r="N91" s="6"/>
      <c r="O91" s="4"/>
      <c r="P91" s="4"/>
      <c r="Q91" s="185"/>
      <c r="R91" s="5"/>
      <c r="S91" s="4"/>
      <c r="T91" s="4"/>
      <c r="U91" s="65">
        <f>Table12[[#This Row],[Frequency After Control Measures]]*Table12[[#This Row],[Severity After Control Measures]]*Table12[[#This Row],[Likelihood After Control Measures]]</f>
        <v>0</v>
      </c>
      <c r="V91" s="86" t="str">
        <f>IFERROR((M91-U91)/M91,"")</f>
        <v/>
      </c>
      <c r="W91" s="64"/>
      <c r="X91" s="64"/>
      <c r="Y91" s="66"/>
      <c r="Z91" s="66"/>
      <c r="AA91" s="4"/>
      <c r="AB91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91" s="65">
        <f>IF(Table12[[#This Row],[Action Closed]]="Yes",Table12[[#This Row],[Risk Score2]],Table12[[#This Row],[Risk Score]])</f>
        <v>0</v>
      </c>
      <c r="AD91" s="87">
        <f>IF(Table12[[#This Row],[Action Closed]]="Yes",Table12[[#This Row],[Severity After Control Measures]],Table12[[#This Row],[Severity]])</f>
        <v>0</v>
      </c>
      <c r="AE91" s="67"/>
      <c r="AF91" s="67"/>
      <c r="AG91" s="67"/>
      <c r="AH91" s="67"/>
      <c r="AI91" s="67"/>
    </row>
    <row r="92" spans="1:35" s="68" customFormat="1" ht="23.25" x14ac:dyDescent="0.25">
      <c r="A92" s="3"/>
      <c r="B92" s="194"/>
      <c r="C92" s="4"/>
      <c r="D92" s="4"/>
      <c r="E92" s="4"/>
      <c r="F92" s="4"/>
      <c r="G92" s="4"/>
      <c r="H92" s="4"/>
      <c r="I92" s="4"/>
      <c r="J92" s="5"/>
      <c r="K92" s="4"/>
      <c r="L92" s="4"/>
      <c r="M92" s="65">
        <f>Table12[[#This Row],[Frequency]]*Table12[[#This Row],[Severity]]*Table12[[#This Row],[Likelihood]]</f>
        <v>0</v>
      </c>
      <c r="N92" s="6"/>
      <c r="O92" s="4"/>
      <c r="P92" s="4"/>
      <c r="Q92" s="185"/>
      <c r="R92" s="5"/>
      <c r="S92" s="4"/>
      <c r="T92" s="4"/>
      <c r="U92" s="65">
        <f>Table12[[#This Row],[Frequency After Control Measures]]*Table12[[#This Row],[Severity After Control Measures]]*Table12[[#This Row],[Likelihood After Control Measures]]</f>
        <v>0</v>
      </c>
      <c r="V92" s="86" t="str">
        <f>IFERROR((M92-U92)/M92,"")</f>
        <v/>
      </c>
      <c r="W92" s="64"/>
      <c r="X92" s="64"/>
      <c r="Y92" s="66"/>
      <c r="Z92" s="66"/>
      <c r="AA92" s="4"/>
      <c r="AB92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92" s="65">
        <f>IF(Table12[[#This Row],[Action Closed]]="Yes",Table12[[#This Row],[Risk Score2]],Table12[[#This Row],[Risk Score]])</f>
        <v>0</v>
      </c>
      <c r="AD92" s="87">
        <f>IF(Table12[[#This Row],[Action Closed]]="Yes",Table12[[#This Row],[Severity After Control Measures]],Table12[[#This Row],[Severity]])</f>
        <v>0</v>
      </c>
      <c r="AE92" s="67"/>
      <c r="AF92" s="67"/>
      <c r="AG92" s="67"/>
      <c r="AH92" s="67"/>
      <c r="AI92" s="67"/>
    </row>
    <row r="93" spans="1:35" s="68" customFormat="1" ht="23.25" x14ac:dyDescent="0.25">
      <c r="A93" s="3"/>
      <c r="B93" s="194"/>
      <c r="C93" s="4"/>
      <c r="D93" s="4"/>
      <c r="E93" s="4"/>
      <c r="F93" s="4"/>
      <c r="G93" s="4"/>
      <c r="H93" s="4"/>
      <c r="I93" s="4"/>
      <c r="J93" s="5"/>
      <c r="K93" s="4"/>
      <c r="L93" s="4"/>
      <c r="M93" s="65">
        <f>Table12[[#This Row],[Frequency]]*Table12[[#This Row],[Severity]]*Table12[[#This Row],[Likelihood]]</f>
        <v>0</v>
      </c>
      <c r="N93" s="6"/>
      <c r="O93" s="4"/>
      <c r="P93" s="4"/>
      <c r="Q93" s="185"/>
      <c r="R93" s="5"/>
      <c r="S93" s="4"/>
      <c r="T93" s="4"/>
      <c r="U93" s="65">
        <f>Table12[[#This Row],[Frequency After Control Measures]]*Table12[[#This Row],[Severity After Control Measures]]*Table12[[#This Row],[Likelihood After Control Measures]]</f>
        <v>0</v>
      </c>
      <c r="V93" s="86" t="str">
        <f t="shared" si="0"/>
        <v/>
      </c>
      <c r="W93" s="64"/>
      <c r="X93" s="64"/>
      <c r="Y93" s="66"/>
      <c r="Z93" s="66"/>
      <c r="AA93" s="4"/>
      <c r="AB93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93" s="65">
        <f>IF(Table12[[#This Row],[Action Closed]]="Yes",Table12[[#This Row],[Risk Score2]],Table12[[#This Row],[Risk Score]])</f>
        <v>0</v>
      </c>
      <c r="AD93" s="87">
        <f>IF(Table12[[#This Row],[Action Closed]]="Yes",Table12[[#This Row],[Severity After Control Measures]],Table12[[#This Row],[Severity]])</f>
        <v>0</v>
      </c>
      <c r="AE93" s="67"/>
      <c r="AF93" s="67"/>
      <c r="AG93" s="67"/>
      <c r="AH93" s="67"/>
      <c r="AI93" s="67"/>
    </row>
    <row r="94" spans="1:35" s="68" customFormat="1" ht="23.25" x14ac:dyDescent="0.25">
      <c r="A94" s="3"/>
      <c r="B94" s="194"/>
      <c r="C94" s="4"/>
      <c r="D94" s="4"/>
      <c r="E94" s="4"/>
      <c r="F94" s="4"/>
      <c r="G94" s="4"/>
      <c r="H94" s="4"/>
      <c r="I94" s="4"/>
      <c r="J94" s="5"/>
      <c r="K94" s="4"/>
      <c r="L94" s="4"/>
      <c r="M94" s="65">
        <f>Table12[[#This Row],[Frequency]]*Table12[[#This Row],[Severity]]*Table12[[#This Row],[Likelihood]]</f>
        <v>0</v>
      </c>
      <c r="N94" s="6"/>
      <c r="O94" s="4"/>
      <c r="P94" s="4"/>
      <c r="Q94" s="185"/>
      <c r="R94" s="5"/>
      <c r="S94" s="4"/>
      <c r="T94" s="4"/>
      <c r="U94" s="65">
        <f>Table12[[#This Row],[Frequency After Control Measures]]*Table12[[#This Row],[Severity After Control Measures]]*Table12[[#This Row],[Likelihood After Control Measures]]</f>
        <v>0</v>
      </c>
      <c r="V94" s="86" t="str">
        <f t="shared" si="0"/>
        <v/>
      </c>
      <c r="W94" s="64"/>
      <c r="X94" s="64"/>
      <c r="Y94" s="66"/>
      <c r="Z94" s="66"/>
      <c r="AA94" s="4"/>
      <c r="AB94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94" s="65">
        <f>IF(Table12[[#This Row],[Action Closed]]="Yes",Table12[[#This Row],[Risk Score2]],Table12[[#This Row],[Risk Score]])</f>
        <v>0</v>
      </c>
      <c r="AD94" s="87">
        <f>IF(Table12[[#This Row],[Action Closed]]="Yes",Table12[[#This Row],[Severity After Control Measures]],Table12[[#This Row],[Severity]])</f>
        <v>0</v>
      </c>
      <c r="AE94" s="67"/>
      <c r="AF94" s="67"/>
      <c r="AG94" s="67"/>
      <c r="AH94" s="67"/>
      <c r="AI94" s="67"/>
    </row>
    <row r="95" spans="1:35" s="68" customFormat="1" ht="23.25" x14ac:dyDescent="0.25">
      <c r="A95" s="3"/>
      <c r="B95" s="194"/>
      <c r="C95" s="4"/>
      <c r="D95" s="4"/>
      <c r="E95" s="4"/>
      <c r="F95" s="4"/>
      <c r="G95" s="4"/>
      <c r="H95" s="4"/>
      <c r="I95" s="4"/>
      <c r="J95" s="5"/>
      <c r="K95" s="4"/>
      <c r="L95" s="4"/>
      <c r="M95" s="65">
        <f>Table12[[#This Row],[Frequency]]*Table12[[#This Row],[Severity]]*Table12[[#This Row],[Likelihood]]</f>
        <v>0</v>
      </c>
      <c r="N95" s="6"/>
      <c r="O95" s="4"/>
      <c r="P95" s="4"/>
      <c r="Q95" s="185"/>
      <c r="R95" s="5"/>
      <c r="S95" s="4"/>
      <c r="T95" s="4"/>
      <c r="U95" s="65">
        <f>Table12[[#This Row],[Frequency After Control Measures]]*Table12[[#This Row],[Severity After Control Measures]]*Table12[[#This Row],[Likelihood After Control Measures]]</f>
        <v>0</v>
      </c>
      <c r="V95" s="86" t="str">
        <f t="shared" si="0"/>
        <v/>
      </c>
      <c r="W95" s="64"/>
      <c r="X95" s="64"/>
      <c r="Y95" s="66"/>
      <c r="Z95" s="66"/>
      <c r="AA95" s="4"/>
      <c r="AB95" s="84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95" s="65">
        <f>IF(Table12[[#This Row],[Action Closed]]="Yes",Table12[[#This Row],[Risk Score2]],Table12[[#This Row],[Risk Score]])</f>
        <v>0</v>
      </c>
      <c r="AD95" s="87">
        <f>IF(Table12[[#This Row],[Action Closed]]="Yes",Table12[[#This Row],[Severity After Control Measures]],Table12[[#This Row],[Severity]])</f>
        <v>0</v>
      </c>
      <c r="AE95" s="67"/>
      <c r="AF95" s="67"/>
      <c r="AG95" s="67"/>
      <c r="AH95" s="67"/>
      <c r="AI95" s="67"/>
    </row>
    <row r="96" spans="1:35" ht="24" thickBot="1" x14ac:dyDescent="0.3">
      <c r="A96" s="3">
        <v>999</v>
      </c>
      <c r="B96" s="194" t="s">
        <v>419</v>
      </c>
      <c r="C96" s="4"/>
      <c r="D96" s="4"/>
      <c r="E96" s="4"/>
      <c r="F96" s="4"/>
      <c r="G96" s="4"/>
      <c r="H96" s="4"/>
      <c r="I96" s="4"/>
      <c r="J96" s="7"/>
      <c r="K96" s="4"/>
      <c r="L96" s="4"/>
      <c r="M96" s="65">
        <f>Table12[[#This Row],[Frequency]]*Table12[[#This Row],[Severity]]*Table12[[#This Row],[Likelihood]]</f>
        <v>0</v>
      </c>
      <c r="N96" s="6"/>
      <c r="O96" s="4"/>
      <c r="P96" s="4"/>
      <c r="Q96" s="185"/>
      <c r="R96" s="5"/>
      <c r="S96" s="4"/>
      <c r="T96" s="4"/>
      <c r="U96" s="65">
        <f>Table12[[#This Row],[Frequency After Control Measures]]*Table12[[#This Row],[Severity After Control Measures]]*Table12[[#This Row],[Likelihood After Control Measures]]</f>
        <v>0</v>
      </c>
      <c r="V96" s="86" t="str">
        <f t="shared" si="0"/>
        <v/>
      </c>
      <c r="W96" s="64"/>
      <c r="X96" s="64"/>
      <c r="Y96" s="66"/>
      <c r="Z96" s="66"/>
      <c r="AA96" s="4"/>
      <c r="AB96" s="85" t="str">
        <f ca="1">+IF(Table12[[#This Row],[
Additional Control Measures to be implemented to reduce or eliminate risk
]]="","",IF(Table12[[#This Row],[Action Closed]]="Yes","Completed",IF(TODAY()&gt;Table12[[#This Row],[Targeted Date]],"Overdue",IF(TODAY()&lt;=Table12[[#This Row],[Targeted Date]],"Ongoing",""))))</f>
        <v/>
      </c>
      <c r="AC96" s="65">
        <f>IF(Table12[[#This Row],[Action Closed]]="Yes",Table12[[#This Row],[Risk Score2]],Table12[[#This Row],[Risk Score]])</f>
        <v>0</v>
      </c>
      <c r="AD96" s="87">
        <f>IF(Table12[[#This Row],[Action Closed]]="Yes",Table12[[#This Row],[Severity After Control Measures]],Table12[[#This Row],[Severity]])</f>
        <v>0</v>
      </c>
    </row>
    <row r="97" spans="1:35" ht="24" thickBot="1" x14ac:dyDescent="0.3">
      <c r="A97" s="69" t="s">
        <v>44</v>
      </c>
      <c r="B97" s="195"/>
      <c r="C97" s="70"/>
      <c r="D97" s="70"/>
      <c r="E97" s="70"/>
      <c r="F97" s="70"/>
      <c r="G97" s="71"/>
      <c r="H97" s="70"/>
      <c r="I97" s="70"/>
      <c r="J97" s="72"/>
      <c r="K97" s="70"/>
      <c r="L97" s="70"/>
      <c r="M97" s="73">
        <f>SUBTOTAL(104,Table12[Risk Score])</f>
        <v>0</v>
      </c>
      <c r="N97" s="70"/>
      <c r="O97" s="70"/>
      <c r="P97" s="70"/>
      <c r="Q97" s="70"/>
      <c r="R97" s="70"/>
      <c r="S97" s="70"/>
      <c r="T97" s="70"/>
      <c r="U97" s="73">
        <f>SUBTOTAL(104,Table12[Risk Score2])</f>
        <v>0</v>
      </c>
      <c r="V97" s="74" t="e">
        <f>SUBTOTAL(101,Table12[% Risk Reduction])</f>
        <v>#DIV/0!</v>
      </c>
      <c r="W97" s="75"/>
      <c r="X97" s="75"/>
      <c r="Y97" s="88"/>
      <c r="Z97" s="75">
        <f>SUBTOTAL(103,Table12[Verifier])</f>
        <v>0</v>
      </c>
      <c r="AA97" s="70"/>
      <c r="AB97" s="70"/>
      <c r="AC97" s="73">
        <f>SUBTOTAL(104,Table12[Current RISK])</f>
        <v>0</v>
      </c>
      <c r="AD97" s="89">
        <f>SUBTOTAL(104,Table12[Current SEVERITY])</f>
        <v>0</v>
      </c>
    </row>
    <row r="98" spans="1:35" s="77" customFormat="1" ht="14.25" x14ac:dyDescent="0.25">
      <c r="A98" s="76"/>
      <c r="H98" s="78"/>
      <c r="O98" s="76"/>
      <c r="P98" s="76"/>
      <c r="Q98" s="76"/>
      <c r="R98" s="76"/>
      <c r="S98" s="76"/>
      <c r="T98" s="76"/>
      <c r="U98" s="76"/>
      <c r="V98" s="76"/>
      <c r="AC98" s="79"/>
      <c r="AD98" s="79"/>
      <c r="AE98" s="79"/>
      <c r="AF98" s="79"/>
      <c r="AG98" s="79"/>
      <c r="AH98" s="79"/>
      <c r="AI98" s="79"/>
    </row>
    <row r="99" spans="1:35" s="77" customFormat="1" ht="14.25" x14ac:dyDescent="0.25">
      <c r="A99" s="78"/>
      <c r="B99" s="15"/>
      <c r="C99" s="15"/>
      <c r="D99" s="15"/>
      <c r="E99" s="78"/>
      <c r="F99" s="15"/>
      <c r="G99" s="15"/>
      <c r="H99" s="15"/>
      <c r="I99" s="15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15"/>
      <c r="X99" s="80"/>
      <c r="Y99" s="15"/>
      <c r="Z99" s="15"/>
      <c r="AA99" s="15"/>
      <c r="AB99" s="15"/>
      <c r="AC99" s="13"/>
      <c r="AD99" s="79"/>
      <c r="AE99" s="79"/>
      <c r="AF99" s="79"/>
      <c r="AG99" s="79"/>
      <c r="AH99" s="79"/>
      <c r="AI99" s="79"/>
    </row>
    <row r="101" spans="1:35" ht="22.5" x14ac:dyDescent="0.25">
      <c r="A101" s="81" t="s">
        <v>80</v>
      </c>
      <c r="B101" s="196" t="s">
        <v>81</v>
      </c>
      <c r="C101" s="81" t="s">
        <v>82</v>
      </c>
    </row>
    <row r="102" spans="1:35" x14ac:dyDescent="0.25">
      <c r="A102" s="82">
        <v>1</v>
      </c>
      <c r="B102" s="197" t="s">
        <v>83</v>
      </c>
      <c r="C102" s="83">
        <v>45673</v>
      </c>
    </row>
    <row r="103" spans="1:35" x14ac:dyDescent="0.25">
      <c r="A103" s="82">
        <v>2</v>
      </c>
      <c r="B103" s="197"/>
      <c r="C103" s="82"/>
    </row>
    <row r="104" spans="1:35" x14ac:dyDescent="0.25">
      <c r="A104" s="82">
        <v>3</v>
      </c>
      <c r="B104" s="197"/>
      <c r="C104" s="82"/>
    </row>
    <row r="108" spans="1:35" x14ac:dyDescent="0.25">
      <c r="E108" s="15"/>
      <c r="J108" s="15"/>
      <c r="K108" s="15"/>
      <c r="L108" s="15"/>
      <c r="M108" s="15"/>
      <c r="N108" s="15"/>
    </row>
  </sheetData>
  <sheetProtection formatColumns="0" formatRows="0" insertRows="0" insertHyperlinks="0" deleteRows="0" sort="0" autoFilter="0" pivotTables="0"/>
  <mergeCells count="2">
    <mergeCell ref="N14:V14"/>
    <mergeCell ref="AA14:AD14"/>
  </mergeCells>
  <conditionalFormatting sqref="F6 M16:M97 U16:U97 AC16:AC97">
    <cfRule type="cellIs" dxfId="73" priority="1" operator="greaterThanOrEqual">
      <formula>72</formula>
    </cfRule>
    <cfRule type="cellIs" dxfId="72" priority="2" operator="between">
      <formula>50</formula>
      <formula>71</formula>
    </cfRule>
    <cfRule type="cellIs" dxfId="71" priority="3" operator="between">
      <formula>20</formula>
      <formula>49</formula>
    </cfRule>
    <cfRule type="cellIs" dxfId="70" priority="4" operator="lessThanOrEqual">
      <formula>19</formula>
    </cfRule>
  </conditionalFormatting>
  <conditionalFormatting sqref="I9">
    <cfRule type="cellIs" dxfId="69" priority="5" operator="greaterThanOrEqual">
      <formula>7</formula>
    </cfRule>
  </conditionalFormatting>
  <conditionalFormatting sqref="L9">
    <cfRule type="cellIs" dxfId="68" priority="6" stopIfTrue="1" operator="equal">
      <formula>"ORTA RİSK"</formula>
    </cfRule>
    <cfRule type="cellIs" dxfId="67" priority="7" stopIfTrue="1" operator="equal">
      <formula>"YÜKSEK RİSK"</formula>
    </cfRule>
    <cfRule type="cellIs" dxfId="66" priority="8" stopIfTrue="1" operator="equal">
      <formula>"ÇOK YÜKSEK RİSK"</formula>
    </cfRule>
  </conditionalFormatting>
  <dataValidations count="4">
    <dataValidation type="date" allowBlank="1" showInputMessage="1" showErrorMessage="1" error="DD/MM/YYYY" sqref="Q16:Q96" xr:uid="{5FA06BDC-7B6B-48C3-972A-2230CBABE466}">
      <formula1>36526</formula1>
      <formula2>73051</formula2>
    </dataValidation>
    <dataValidation type="list" allowBlank="1" showInputMessage="1" showErrorMessage="1" sqref="O16:O96" xr:uid="{0EE2515E-26D4-4B2F-89DC-A06FB59CB809}">
      <formula1>"1, 2, 3, 4, 5, 6"</formula1>
    </dataValidation>
    <dataValidation type="list" allowBlank="1" showInputMessage="1" showErrorMessage="1" sqref="AA16:AA96" xr:uid="{4A28C83A-375E-4DCC-89BF-A3B19AD640B6}">
      <formula1>"Yes,No"</formula1>
    </dataValidation>
    <dataValidation type="list" allowBlank="1" showInputMessage="1" showErrorMessage="1" sqref="I16:I96" xr:uid="{73B569CC-504B-4368-8FC7-A8D6345D5770}">
      <formula1>"Routine, Non-routine, Emergency situation"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3CC6240-630D-4812-8940-5670076A3965}">
          <x14:formula1>
            <xm:f>Lists!$U$5:$U$87</xm:f>
          </x14:formula1>
          <xm:sqref>E16:E96</xm:sqref>
        </x14:dataValidation>
        <x14:dataValidation type="list" allowBlank="1" showInputMessage="1" showErrorMessage="1" xr:uid="{CF44BBE4-8A52-4CC0-9337-17B3E6D13874}">
          <x14:formula1>
            <xm:f>Lists!$R$5:$R$9</xm:f>
          </x14:formula1>
          <xm:sqref>T16:T96 L16:L96</xm:sqref>
        </x14:dataValidation>
        <x14:dataValidation type="list" allowBlank="1" showInputMessage="1" showErrorMessage="1" xr:uid="{5CE69BE7-399F-42A8-9A12-0B65662FB59A}">
          <x14:formula1>
            <xm:f>Lists!$Q$5:$Q$10</xm:f>
          </x14:formula1>
          <xm:sqref>S16:S96 K16:K96</xm:sqref>
        </x14:dataValidation>
        <x14:dataValidation type="list" allowBlank="1" showInputMessage="1" showErrorMessage="1" xr:uid="{81ECA809-87C0-4861-86BB-AD43750ED9DD}">
          <x14:formula1>
            <xm:f>Lists!$P$5:$P$9</xm:f>
          </x14:formula1>
          <xm:sqref>R16:R96 J16:J96</xm:sqref>
        </x14:dataValidation>
        <x14:dataValidation type="list" allowBlank="1" showInputMessage="1" showErrorMessage="1" xr:uid="{4E0E544E-8739-40FA-885D-898D9C0D65AE}">
          <x14:formula1>
            <xm:f>_xlfn.XLOOKUP(C16,Lists!$B$4:$K$4,Lists!$B$5:$K$45)</xm:f>
          </x14:formula1>
          <xm:sqref>D16:D96</xm:sqref>
        </x14:dataValidation>
        <x14:dataValidation type="list" allowBlank="1" showInputMessage="1" showErrorMessage="1" xr:uid="{85E496D7-9653-4C54-A0E1-4B6EA112563B}">
          <x14:formula1>
            <xm:f>Lists!$B$4:$K$4</xm:f>
          </x14:formula1>
          <xm:sqref>C16:C96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108"/>
  <sheetViews>
    <sheetView zoomScale="85" zoomScaleNormal="85" workbookViewId="0">
      <selection activeCell="B37" sqref="B37"/>
    </sheetView>
  </sheetViews>
  <sheetFormatPr defaultColWidth="9.140625" defaultRowHeight="12.75" outlineLevelCol="1" x14ac:dyDescent="0.25"/>
  <cols>
    <col min="1" max="1" width="12.28515625" style="78" customWidth="1"/>
    <col min="2" max="2" width="47.42578125" style="15" customWidth="1"/>
    <col min="3" max="4" width="31.42578125" style="15" customWidth="1"/>
    <col min="5" max="5" width="26.140625" style="78" customWidth="1"/>
    <col min="6" max="6" width="30.85546875" style="15" customWidth="1"/>
    <col min="7" max="7" width="19" style="15" bestFit="1" customWidth="1"/>
    <col min="8" max="8" width="42.42578125" style="15" customWidth="1"/>
    <col min="9" max="9" width="32.85546875" style="15" customWidth="1"/>
    <col min="10" max="12" width="11.42578125" style="78" customWidth="1"/>
    <col min="13" max="13" width="20.42578125" style="78" customWidth="1"/>
    <col min="14" max="14" width="41.5703125" style="78" customWidth="1"/>
    <col min="15" max="15" width="11" style="78" customWidth="1"/>
    <col min="16" max="16" width="17.140625" style="78" customWidth="1"/>
    <col min="17" max="17" width="15.28515625" style="78" customWidth="1"/>
    <col min="18" max="20" width="11.42578125" style="78" customWidth="1"/>
    <col min="21" max="21" width="15.5703125" style="78" customWidth="1"/>
    <col min="22" max="22" width="20.5703125" style="78" customWidth="1"/>
    <col min="23" max="23" width="26.42578125" style="15" hidden="1" customWidth="1" outlineLevel="1"/>
    <col min="24" max="24" width="22.140625" style="80" hidden="1" customWidth="1" outlineLevel="1"/>
    <col min="25" max="25" width="14.42578125" style="15" hidden="1" customWidth="1" outlineLevel="1"/>
    <col min="26" max="26" width="14.7109375" style="15" hidden="1" customWidth="1" outlineLevel="1"/>
    <col min="27" max="27" width="9.140625" style="15" collapsed="1"/>
    <col min="28" max="28" width="15.85546875" style="15" customWidth="1"/>
    <col min="29" max="30" width="17" style="13" customWidth="1"/>
    <col min="31" max="35" width="9.140625" style="13"/>
    <col min="36" max="16384" width="9.140625" style="15"/>
  </cols>
  <sheetData>
    <row r="1" spans="1:35" ht="16.5" thickBot="1" x14ac:dyDescent="0.3">
      <c r="A1" s="11"/>
      <c r="B1" s="12" t="s">
        <v>178</v>
      </c>
      <c r="C1" s="13"/>
      <c r="D1" s="13"/>
      <c r="E1" s="11"/>
      <c r="F1" s="13"/>
      <c r="G1" s="13"/>
      <c r="H1" s="13"/>
      <c r="I1" s="13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3"/>
      <c r="X1" s="14"/>
      <c r="Y1" s="13"/>
      <c r="Z1" s="13"/>
      <c r="AA1" s="13"/>
      <c r="AB1" s="13"/>
    </row>
    <row r="2" spans="1:35" ht="22.5" customHeight="1" x14ac:dyDescent="0.25">
      <c r="A2" s="11"/>
      <c r="B2" s="191" t="s">
        <v>0</v>
      </c>
      <c r="C2" s="198" t="s">
        <v>421</v>
      </c>
      <c r="D2" s="11"/>
      <c r="E2" s="97" t="s">
        <v>3</v>
      </c>
      <c r="F2" s="16">
        <f>COUNTIF(Table1[Current RISK],"&gt;=72")</f>
        <v>0</v>
      </c>
      <c r="G2" s="13"/>
      <c r="H2" s="13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3"/>
      <c r="W2" s="14"/>
      <c r="X2" s="13"/>
      <c r="Y2" s="13"/>
      <c r="Z2" s="13"/>
      <c r="AA2" s="13"/>
      <c r="AB2" s="13"/>
    </row>
    <row r="3" spans="1:35" s="20" customFormat="1" ht="22.5" customHeight="1" x14ac:dyDescent="0.25">
      <c r="A3" s="17"/>
      <c r="B3" s="192" t="s">
        <v>1</v>
      </c>
      <c r="C3" s="199"/>
      <c r="D3" s="17"/>
      <c r="E3" s="21" t="s">
        <v>5</v>
      </c>
      <c r="F3" s="18">
        <f>COUNTIF(Table1[Current RISK],"&gt;=50")-COUNTIF(Table1[Current RISK],"&gt;=72")</f>
        <v>0</v>
      </c>
      <c r="G3" s="17"/>
      <c r="H3" s="17"/>
      <c r="I3" s="17"/>
      <c r="J3" s="17"/>
      <c r="K3" s="17"/>
      <c r="L3" s="17"/>
      <c r="M3" s="17"/>
      <c r="N3" s="17"/>
      <c r="O3" s="19"/>
      <c r="P3" s="19"/>
      <c r="Q3" s="19"/>
      <c r="R3" s="19"/>
      <c r="S3" s="19"/>
      <c r="T3" s="19"/>
      <c r="U3" s="19"/>
      <c r="V3" s="19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</row>
    <row r="4" spans="1:35" s="20" customFormat="1" ht="22.5" customHeight="1" x14ac:dyDescent="0.25">
      <c r="A4" s="17"/>
      <c r="B4" s="192" t="s">
        <v>76</v>
      </c>
      <c r="C4" s="200" t="s">
        <v>422</v>
      </c>
      <c r="D4" s="17"/>
      <c r="E4" s="94" t="s">
        <v>7</v>
      </c>
      <c r="F4" s="18">
        <f>COUNTIF(Table1[Current RISK],"&gt;=20")-COUNTIF(Table1[Current RISK],"&gt;=50")</f>
        <v>0</v>
      </c>
      <c r="G4" s="17"/>
      <c r="H4" s="17"/>
      <c r="I4" s="17"/>
      <c r="J4" s="17"/>
      <c r="K4" s="17"/>
      <c r="L4" s="17"/>
      <c r="M4" s="17"/>
      <c r="N4" s="17"/>
      <c r="O4" s="19"/>
      <c r="P4" s="19"/>
      <c r="Q4" s="19"/>
      <c r="R4" s="19"/>
      <c r="S4" s="19"/>
      <c r="T4" s="19"/>
      <c r="U4" s="19"/>
      <c r="V4" s="19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spans="1:35" s="20" customFormat="1" ht="57.75" customHeight="1" x14ac:dyDescent="0.25">
      <c r="A5" s="201"/>
      <c r="B5" s="192" t="s">
        <v>77</v>
      </c>
      <c r="C5" s="199" t="s">
        <v>424</v>
      </c>
      <c r="D5" s="17"/>
      <c r="E5" s="22" t="s">
        <v>10</v>
      </c>
      <c r="F5" s="18">
        <f>COUNTIF(Table1[Current RISK],"&gt;=1")-COUNTIF(Table1[Current RISK],"&gt;=20")</f>
        <v>0</v>
      </c>
      <c r="G5" s="17"/>
      <c r="H5" s="17"/>
      <c r="I5" s="17"/>
      <c r="J5" s="17"/>
      <c r="K5" s="17"/>
      <c r="L5" s="17"/>
      <c r="M5" s="17"/>
      <c r="N5" s="17"/>
      <c r="O5" s="19"/>
      <c r="P5" s="19"/>
      <c r="Q5" s="19"/>
      <c r="R5" s="19"/>
      <c r="S5" s="19"/>
      <c r="T5" s="19"/>
      <c r="U5" s="19"/>
      <c r="V5" s="19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spans="1:35" s="20" customFormat="1" ht="22.5" customHeight="1" x14ac:dyDescent="0.25">
      <c r="A6" s="17"/>
      <c r="B6" s="192" t="s">
        <v>6</v>
      </c>
      <c r="C6" s="200" t="s">
        <v>423</v>
      </c>
      <c r="D6" s="17"/>
      <c r="E6" s="23" t="s">
        <v>2</v>
      </c>
      <c r="F6" s="24">
        <f>MAX(Table1[Current RISK])</f>
        <v>0</v>
      </c>
      <c r="G6" s="17"/>
      <c r="H6" s="17"/>
      <c r="I6" s="17"/>
      <c r="J6" s="17"/>
      <c r="K6" s="17"/>
      <c r="L6" s="17"/>
      <c r="M6" s="17"/>
      <c r="N6" s="17"/>
      <c r="O6" s="19"/>
      <c r="P6" s="19"/>
      <c r="Q6" s="19"/>
      <c r="R6" s="19"/>
      <c r="S6" s="19"/>
      <c r="T6" s="19"/>
      <c r="U6" s="19"/>
      <c r="V6" s="19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</row>
    <row r="7" spans="1:35" s="20" customFormat="1" ht="22.5" customHeight="1" thickBot="1" x14ac:dyDescent="0.3">
      <c r="A7" s="17"/>
      <c r="B7" s="192" t="s">
        <v>9</v>
      </c>
      <c r="C7" s="131"/>
      <c r="D7" s="17"/>
      <c r="E7" s="25" t="s">
        <v>4</v>
      </c>
      <c r="F7" s="26">
        <f>MAX(Table1[Current SEVERITY])</f>
        <v>0</v>
      </c>
      <c r="G7" s="17"/>
      <c r="H7" s="17"/>
      <c r="I7" s="17"/>
      <c r="J7" s="17"/>
      <c r="K7" s="17"/>
      <c r="L7" s="17"/>
      <c r="M7" s="17"/>
      <c r="N7" s="17"/>
      <c r="O7" s="19"/>
      <c r="P7" s="19"/>
      <c r="Q7" s="19"/>
      <c r="R7" s="19"/>
      <c r="S7" s="19"/>
      <c r="T7" s="19"/>
      <c r="U7" s="19"/>
      <c r="V7" s="19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</row>
    <row r="8" spans="1:35" s="20" customFormat="1" ht="22.5" customHeight="1" thickTop="1" x14ac:dyDescent="0.25">
      <c r="A8" s="17"/>
      <c r="B8" s="192" t="s">
        <v>12</v>
      </c>
      <c r="C8" s="1"/>
      <c r="D8" s="27"/>
      <c r="E8" s="28" t="s">
        <v>78</v>
      </c>
      <c r="F8" s="29">
        <f ca="1">+F10+F11</f>
        <v>0</v>
      </c>
      <c r="G8" s="30"/>
      <c r="H8" s="30"/>
      <c r="I8" s="30"/>
      <c r="J8" s="30"/>
      <c r="K8" s="30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</row>
    <row r="9" spans="1:35" s="20" customFormat="1" ht="24" customHeight="1" x14ac:dyDescent="0.25">
      <c r="A9" s="17"/>
      <c r="B9" s="192" t="s">
        <v>13</v>
      </c>
      <c r="C9" s="1"/>
      <c r="E9" s="31" t="s">
        <v>79</v>
      </c>
      <c r="F9" s="32">
        <f>+COUNTIF(Table1[Action Closed],"Yes")</f>
        <v>0</v>
      </c>
      <c r="G9" s="30"/>
      <c r="H9" s="33"/>
      <c r="I9" s="34"/>
      <c r="J9" s="30"/>
      <c r="K9" s="30"/>
      <c r="L9" s="35"/>
      <c r="M9" s="30"/>
      <c r="N9" s="30"/>
      <c r="O9" s="30"/>
      <c r="P9" s="30"/>
      <c r="Q9" s="30"/>
      <c r="R9" s="30"/>
      <c r="S9" s="30"/>
      <c r="T9" s="30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</row>
    <row r="10" spans="1:35" s="20" customFormat="1" ht="22.5" customHeight="1" x14ac:dyDescent="0.25">
      <c r="A10" s="17"/>
      <c r="B10" s="192" t="s">
        <v>75</v>
      </c>
      <c r="C10" s="1"/>
      <c r="E10" s="36" t="s">
        <v>8</v>
      </c>
      <c r="F10" s="37">
        <f ca="1">+COUNTIF(Table1[Action status],"Overdue")</f>
        <v>0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17"/>
      <c r="W10" s="38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 spans="1:35" s="20" customFormat="1" ht="22.5" customHeight="1" thickBot="1" x14ac:dyDescent="0.3">
      <c r="A11" s="17"/>
      <c r="B11" s="192" t="s">
        <v>14</v>
      </c>
      <c r="C11" s="1"/>
      <c r="D11" s="17"/>
      <c r="E11" s="39" t="s">
        <v>11</v>
      </c>
      <c r="F11" s="40">
        <f ca="1">+COUNTIF(Table1[Action status],"Ongoing")</f>
        <v>0</v>
      </c>
      <c r="G11" s="30"/>
      <c r="H11" s="17"/>
      <c r="I11" s="17"/>
      <c r="J11" s="41"/>
      <c r="K11" s="41"/>
      <c r="L11" s="35"/>
      <c r="M11" s="30"/>
      <c r="N11" s="30"/>
      <c r="O11" s="30"/>
      <c r="P11" s="30"/>
      <c r="Q11" s="30"/>
      <c r="R11" s="30"/>
      <c r="S11" s="30"/>
      <c r="T11" s="30"/>
      <c r="U11" s="30"/>
      <c r="V11" s="42"/>
      <c r="W11" s="17"/>
      <c r="X11" s="38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</row>
    <row r="12" spans="1:35" x14ac:dyDescent="0.25">
      <c r="A12" s="11"/>
      <c r="B12" s="43"/>
      <c r="C12" s="44"/>
      <c r="D12" s="45"/>
      <c r="E12" s="46"/>
      <c r="F12" s="45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42"/>
      <c r="W12" s="13"/>
      <c r="X12" s="14"/>
      <c r="Y12" s="13"/>
      <c r="Z12" s="13"/>
      <c r="AA12" s="13"/>
      <c r="AB12" s="13"/>
    </row>
    <row r="13" spans="1:35" ht="15.75" thickBot="1" x14ac:dyDescent="0.3">
      <c r="A13" s="11"/>
      <c r="B13" s="47" t="s">
        <v>15</v>
      </c>
      <c r="C13" s="2"/>
      <c r="D13" s="45"/>
      <c r="E13" s="46"/>
      <c r="F13" s="45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42"/>
      <c r="W13" s="13"/>
      <c r="X13" s="14"/>
      <c r="Y13" s="13"/>
      <c r="Z13" s="13"/>
      <c r="AA13" s="13"/>
      <c r="AB13" s="13"/>
    </row>
    <row r="14" spans="1:35" ht="27.75" customHeight="1" thickBot="1" x14ac:dyDescent="0.3">
      <c r="A14" s="11"/>
      <c r="B14" s="48"/>
      <c r="C14" s="45"/>
      <c r="D14" s="45"/>
      <c r="E14" s="49"/>
      <c r="F14" s="45"/>
      <c r="G14" s="30"/>
      <c r="H14" s="45"/>
      <c r="I14" s="45"/>
      <c r="J14" s="49"/>
      <c r="K14" s="49"/>
      <c r="L14" s="49"/>
      <c r="M14" s="49"/>
      <c r="N14" s="205" t="s">
        <v>73</v>
      </c>
      <c r="O14" s="206"/>
      <c r="P14" s="206"/>
      <c r="Q14" s="206"/>
      <c r="R14" s="206"/>
      <c r="S14" s="206"/>
      <c r="T14" s="206"/>
      <c r="U14" s="206"/>
      <c r="V14" s="207"/>
      <c r="W14" s="13"/>
      <c r="X14" s="13"/>
      <c r="AA14" s="202" t="s">
        <v>16</v>
      </c>
      <c r="AB14" s="203"/>
      <c r="AC14" s="203"/>
      <c r="AD14" s="204"/>
    </row>
    <row r="15" spans="1:35" s="63" customFormat="1" ht="74.25" thickBot="1" x14ac:dyDescent="0.3">
      <c r="A15" s="50" t="s">
        <v>17</v>
      </c>
      <c r="B15" s="193" t="s">
        <v>18</v>
      </c>
      <c r="C15" s="52" t="s">
        <v>19</v>
      </c>
      <c r="D15" s="52" t="s">
        <v>20</v>
      </c>
      <c r="E15" s="51" t="s">
        <v>21</v>
      </c>
      <c r="F15" s="53" t="s">
        <v>74</v>
      </c>
      <c r="G15" s="51" t="s">
        <v>22</v>
      </c>
      <c r="H15" s="51" t="s">
        <v>335</v>
      </c>
      <c r="I15" s="51" t="s">
        <v>23</v>
      </c>
      <c r="J15" s="54" t="s">
        <v>24</v>
      </c>
      <c r="K15" s="93" t="s">
        <v>25</v>
      </c>
      <c r="L15" s="54" t="s">
        <v>26</v>
      </c>
      <c r="M15" s="54" t="s">
        <v>27</v>
      </c>
      <c r="N15" s="55" t="s">
        <v>28</v>
      </c>
      <c r="O15" s="56" t="s">
        <v>29</v>
      </c>
      <c r="P15" s="56" t="s">
        <v>30</v>
      </c>
      <c r="Q15" s="56" t="s">
        <v>84</v>
      </c>
      <c r="R15" s="57" t="s">
        <v>31</v>
      </c>
      <c r="S15" s="57" t="s">
        <v>32</v>
      </c>
      <c r="T15" s="57" t="s">
        <v>33</v>
      </c>
      <c r="U15" s="57" t="s">
        <v>34</v>
      </c>
      <c r="V15" s="57" t="s">
        <v>35</v>
      </c>
      <c r="W15" s="58" t="s">
        <v>36</v>
      </c>
      <c r="X15" s="58" t="s">
        <v>37</v>
      </c>
      <c r="Y15" s="58" t="s">
        <v>38</v>
      </c>
      <c r="Z15" s="58" t="s">
        <v>39</v>
      </c>
      <c r="AA15" s="59" t="s">
        <v>40</v>
      </c>
      <c r="AB15" s="59" t="s">
        <v>41</v>
      </c>
      <c r="AC15" s="60" t="s">
        <v>42</v>
      </c>
      <c r="AD15" s="61" t="s">
        <v>43</v>
      </c>
      <c r="AE15" s="62"/>
      <c r="AF15" s="62"/>
      <c r="AG15" s="62"/>
      <c r="AH15" s="62"/>
      <c r="AI15" s="62"/>
    </row>
    <row r="16" spans="1:35" s="68" customFormat="1" ht="23.25" customHeight="1" x14ac:dyDescent="0.25">
      <c r="A16" s="3"/>
      <c r="B16" s="194"/>
      <c r="C16" s="4"/>
      <c r="D16" s="4"/>
      <c r="E16" s="4"/>
      <c r="F16" s="4"/>
      <c r="G16" s="4"/>
      <c r="H16" s="4"/>
      <c r="I16" s="4"/>
      <c r="J16" s="91"/>
      <c r="K16" s="96"/>
      <c r="L16" s="92"/>
      <c r="M16" s="65">
        <f>Table1[[#This Row],[Frequency]]*Table1[[#This Row],[Severity]]*Table1[[#This Row],[Likelihood]]</f>
        <v>0</v>
      </c>
      <c r="N16" s="6"/>
      <c r="O16" s="4"/>
      <c r="P16" s="4"/>
      <c r="Q16" s="185"/>
      <c r="R16" s="5"/>
      <c r="S16" s="4"/>
      <c r="T16" s="4"/>
      <c r="U16" s="65">
        <f>Table1[[#This Row],[Frequency After Control Measures]]*Table1[[#This Row],[Severity After Control Measures]]*Table1[[#This Row],[Likelihood After Control Measures]]</f>
        <v>0</v>
      </c>
      <c r="V16" s="86" t="str">
        <f t="shared" ref="V16:V96" si="0">IFERROR((M16-U16)/M16,"")</f>
        <v/>
      </c>
      <c r="W16" s="64"/>
      <c r="X16" s="64"/>
      <c r="Y16" s="66"/>
      <c r="Z16" s="66"/>
      <c r="AA16" s="4"/>
      <c r="AB16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16" s="65">
        <f>IF(Table1[[#This Row],[Action Closed]]="Yes",Table1[[#This Row],[Risk Score2]],Table1[[#This Row],[Risk Score]])</f>
        <v>0</v>
      </c>
      <c r="AD16" s="87">
        <f>IF(Table1[[#This Row],[Action Closed]]="Yes",Table1[[#This Row],[Severity After Control Measures]],Table1[[#This Row],[Severity]])</f>
        <v>0</v>
      </c>
      <c r="AE16" s="67"/>
      <c r="AF16" s="67"/>
      <c r="AG16" s="67"/>
      <c r="AH16" s="67"/>
      <c r="AI16" s="67"/>
    </row>
    <row r="17" spans="1:35" s="68" customFormat="1" ht="23.25" customHeight="1" x14ac:dyDescent="0.25">
      <c r="A17" s="3"/>
      <c r="B17" s="194"/>
      <c r="C17" s="4"/>
      <c r="D17" s="4"/>
      <c r="E17" s="4"/>
      <c r="F17" s="4"/>
      <c r="G17" s="4"/>
      <c r="H17" s="4"/>
      <c r="I17" s="4"/>
      <c r="J17" s="91"/>
      <c r="K17" s="96"/>
      <c r="L17" s="92"/>
      <c r="M17" s="65">
        <f>Table1[[#This Row],[Frequency]]*Table1[[#This Row],[Severity]]*Table1[[#This Row],[Likelihood]]</f>
        <v>0</v>
      </c>
      <c r="N17" s="6"/>
      <c r="O17" s="4"/>
      <c r="P17" s="4"/>
      <c r="Q17" s="185"/>
      <c r="R17" s="5"/>
      <c r="S17" s="4"/>
      <c r="T17" s="4"/>
      <c r="U17" s="65">
        <f>Table1[[#This Row],[Frequency After Control Measures]]*Table1[[#This Row],[Severity After Control Measures]]*Table1[[#This Row],[Likelihood After Control Measures]]</f>
        <v>0</v>
      </c>
      <c r="V17" s="86" t="str">
        <f t="shared" si="0"/>
        <v/>
      </c>
      <c r="W17" s="64"/>
      <c r="X17" s="64"/>
      <c r="Y17" s="66"/>
      <c r="Z17" s="66"/>
      <c r="AA17" s="4"/>
      <c r="AB17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17" s="65">
        <f>IF(Table1[[#This Row],[Action Closed]]="Yes",Table1[[#This Row],[Risk Score2]],Table1[[#This Row],[Risk Score]])</f>
        <v>0</v>
      </c>
      <c r="AD17" s="87">
        <f>IF(Table1[[#This Row],[Action Closed]]="Yes",Table1[[#This Row],[Severity After Control Measures]],Table1[[#This Row],[Severity]])</f>
        <v>0</v>
      </c>
      <c r="AE17" s="67"/>
      <c r="AF17" s="67"/>
      <c r="AG17" s="67"/>
      <c r="AH17" s="67"/>
      <c r="AI17" s="67"/>
    </row>
    <row r="18" spans="1:35" s="68" customFormat="1" ht="23.25" customHeight="1" x14ac:dyDescent="0.25">
      <c r="A18" s="92"/>
      <c r="B18" s="194"/>
      <c r="C18" s="4"/>
      <c r="D18" s="4"/>
      <c r="E18" s="4"/>
      <c r="F18" s="4"/>
      <c r="G18" s="4"/>
      <c r="H18" s="4"/>
      <c r="I18" s="4"/>
      <c r="J18" s="186"/>
      <c r="K18" s="190"/>
      <c r="L18" s="92"/>
      <c r="M18" s="65">
        <f>Table1[[#This Row],[Frequency]]*Table1[[#This Row],[Severity]]*Table1[[#This Row],[Likelihood]]</f>
        <v>0</v>
      </c>
      <c r="N18" s="6"/>
      <c r="O18" s="4"/>
      <c r="P18" s="4"/>
      <c r="Q18" s="185"/>
      <c r="R18" s="5"/>
      <c r="S18" s="4"/>
      <c r="T18" s="4"/>
      <c r="U18" s="187"/>
      <c r="V18" s="86"/>
      <c r="W18" s="64"/>
      <c r="X18" s="64"/>
      <c r="Y18" s="66"/>
      <c r="Z18" s="66"/>
      <c r="AA18" s="188"/>
      <c r="AB18" s="189"/>
      <c r="AC18" s="187"/>
      <c r="AD18" s="87"/>
      <c r="AE18" s="67"/>
      <c r="AF18" s="67"/>
      <c r="AG18" s="67"/>
      <c r="AH18" s="67"/>
      <c r="AI18" s="67"/>
    </row>
    <row r="19" spans="1:35" s="68" customFormat="1" ht="23.25" customHeight="1" x14ac:dyDescent="0.25">
      <c r="A19" s="3"/>
      <c r="B19" s="194"/>
      <c r="C19" s="4"/>
      <c r="D19" s="4"/>
      <c r="E19" s="4"/>
      <c r="F19" s="4"/>
      <c r="G19" s="4"/>
      <c r="H19" s="4"/>
      <c r="I19" s="4"/>
      <c r="J19" s="91"/>
      <c r="K19" s="96"/>
      <c r="L19" s="92"/>
      <c r="M19" s="65">
        <f>Table1[[#This Row],[Frequency]]*Table1[[#This Row],[Severity]]*Table1[[#This Row],[Likelihood]]</f>
        <v>0</v>
      </c>
      <c r="N19" s="6"/>
      <c r="O19" s="4"/>
      <c r="P19" s="4"/>
      <c r="Q19" s="185"/>
      <c r="R19" s="5"/>
      <c r="S19" s="4"/>
      <c r="T19" s="4"/>
      <c r="U19" s="65">
        <f>Table1[[#This Row],[Frequency After Control Measures]]*Table1[[#This Row],[Severity After Control Measures]]*Table1[[#This Row],[Likelihood After Control Measures]]</f>
        <v>0</v>
      </c>
      <c r="V19" s="86" t="str">
        <f t="shared" si="0"/>
        <v/>
      </c>
      <c r="W19" s="64"/>
      <c r="X19" s="64"/>
      <c r="Y19" s="66"/>
      <c r="Z19" s="66"/>
      <c r="AA19" s="4"/>
      <c r="AB19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19" s="65">
        <f>IF(Table1[[#This Row],[Action Closed]]="Yes",Table1[[#This Row],[Risk Score2]],Table1[[#This Row],[Risk Score]])</f>
        <v>0</v>
      </c>
      <c r="AD19" s="87">
        <f>IF(Table1[[#This Row],[Action Closed]]="Yes",Table1[[#This Row],[Severity After Control Measures]],Table1[[#This Row],[Severity]])</f>
        <v>0</v>
      </c>
      <c r="AE19" s="67"/>
      <c r="AF19" s="67"/>
      <c r="AG19" s="67"/>
      <c r="AH19" s="67"/>
      <c r="AI19" s="67"/>
    </row>
    <row r="20" spans="1:35" s="68" customFormat="1" ht="23.25" customHeight="1" x14ac:dyDescent="0.25">
      <c r="A20" s="3"/>
      <c r="B20" s="194"/>
      <c r="C20" s="4"/>
      <c r="D20" s="4"/>
      <c r="E20" s="4"/>
      <c r="F20" s="4"/>
      <c r="G20" s="4"/>
      <c r="H20" s="95"/>
      <c r="I20" s="4"/>
      <c r="J20" s="91"/>
      <c r="K20" s="96"/>
      <c r="L20" s="92"/>
      <c r="M20" s="65">
        <f>Table1[[#This Row],[Frequency]]*Table1[[#This Row],[Severity]]*Table1[[#This Row],[Likelihood]]</f>
        <v>0</v>
      </c>
      <c r="N20" s="6"/>
      <c r="O20" s="4"/>
      <c r="P20" s="4"/>
      <c r="Q20" s="185"/>
      <c r="R20" s="5"/>
      <c r="S20" s="4"/>
      <c r="T20" s="4"/>
      <c r="U20" s="65">
        <f>Table1[[#This Row],[Frequency After Control Measures]]*Table1[[#This Row],[Severity After Control Measures]]*Table1[[#This Row],[Likelihood After Control Measures]]</f>
        <v>0</v>
      </c>
      <c r="V20" s="86" t="str">
        <f t="shared" si="0"/>
        <v/>
      </c>
      <c r="W20" s="64"/>
      <c r="X20" s="64"/>
      <c r="Y20" s="66"/>
      <c r="Z20" s="66"/>
      <c r="AA20" s="4"/>
      <c r="AB20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20" s="65">
        <f>IF(Table1[[#This Row],[Action Closed]]="Yes",Table1[[#This Row],[Risk Score2]],Table1[[#This Row],[Risk Score]])</f>
        <v>0</v>
      </c>
      <c r="AD20" s="87">
        <f>IF(Table1[[#This Row],[Action Closed]]="Yes",Table1[[#This Row],[Severity After Control Measures]],Table1[[#This Row],[Severity]])</f>
        <v>0</v>
      </c>
      <c r="AE20" s="67"/>
      <c r="AF20" s="67"/>
      <c r="AG20" s="67"/>
      <c r="AH20" s="67"/>
      <c r="AI20" s="67"/>
    </row>
    <row r="21" spans="1:35" s="68" customFormat="1" ht="23.25" customHeight="1" x14ac:dyDescent="0.25">
      <c r="A21" s="3"/>
      <c r="B21" s="194"/>
      <c r="C21" s="4"/>
      <c r="D21" s="4"/>
      <c r="E21" s="4"/>
      <c r="F21" s="4"/>
      <c r="G21" s="4"/>
      <c r="H21" s="4"/>
      <c r="I21" s="4"/>
      <c r="J21" s="91"/>
      <c r="K21" s="96"/>
      <c r="L21" s="92"/>
      <c r="M21" s="65">
        <f>Table1[[#This Row],[Frequency]]*Table1[[#This Row],[Severity]]*Table1[[#This Row],[Likelihood]]</f>
        <v>0</v>
      </c>
      <c r="N21" s="6"/>
      <c r="O21" s="4"/>
      <c r="P21" s="4"/>
      <c r="Q21" s="185"/>
      <c r="R21" s="5"/>
      <c r="S21" s="4"/>
      <c r="T21" s="4"/>
      <c r="U21" s="65">
        <f>Table1[[#This Row],[Frequency After Control Measures]]*Table1[[#This Row],[Severity After Control Measures]]*Table1[[#This Row],[Likelihood After Control Measures]]</f>
        <v>0</v>
      </c>
      <c r="V21" s="86" t="str">
        <f t="shared" ref="V21:V90" si="1">IFERROR((M21-U21)/M21,"")</f>
        <v/>
      </c>
      <c r="W21" s="64"/>
      <c r="X21" s="64"/>
      <c r="Y21" s="66"/>
      <c r="Z21" s="66"/>
      <c r="AA21" s="4"/>
      <c r="AB21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21" s="65">
        <f>IF(Table1[[#This Row],[Action Closed]]="Yes",Table1[[#This Row],[Risk Score2]],Table1[[#This Row],[Risk Score]])</f>
        <v>0</v>
      </c>
      <c r="AD21" s="87">
        <f>IF(Table1[[#This Row],[Action Closed]]="Yes",Table1[[#This Row],[Severity After Control Measures]],Table1[[#This Row],[Severity]])</f>
        <v>0</v>
      </c>
      <c r="AE21" s="67"/>
      <c r="AF21" s="67"/>
      <c r="AG21" s="67"/>
      <c r="AH21" s="67"/>
      <c r="AI21" s="67"/>
    </row>
    <row r="22" spans="1:35" s="68" customFormat="1" ht="23.25" customHeight="1" x14ac:dyDescent="0.25">
      <c r="A22" s="3"/>
      <c r="B22" s="194"/>
      <c r="C22" s="4"/>
      <c r="D22" s="4"/>
      <c r="E22" s="4"/>
      <c r="F22" s="4"/>
      <c r="G22" s="4"/>
      <c r="H22" s="4"/>
      <c r="I22" s="4"/>
      <c r="J22" s="91"/>
      <c r="K22" s="90"/>
      <c r="L22" s="92"/>
      <c r="M22" s="65">
        <f>Table1[[#This Row],[Frequency]]*Table1[[#This Row],[Severity]]*Table1[[#This Row],[Likelihood]]</f>
        <v>0</v>
      </c>
      <c r="N22" s="6"/>
      <c r="O22" s="4"/>
      <c r="P22" s="4"/>
      <c r="Q22" s="185"/>
      <c r="R22" s="5"/>
      <c r="S22" s="4"/>
      <c r="T22" s="4"/>
      <c r="U22" s="65">
        <f>Table1[[#This Row],[Frequency After Control Measures]]*Table1[[#This Row],[Severity After Control Measures]]*Table1[[#This Row],[Likelihood After Control Measures]]</f>
        <v>0</v>
      </c>
      <c r="V22" s="86" t="str">
        <f t="shared" si="1"/>
        <v/>
      </c>
      <c r="W22" s="64"/>
      <c r="X22" s="64"/>
      <c r="Y22" s="66"/>
      <c r="Z22" s="66"/>
      <c r="AA22" s="4"/>
      <c r="AB22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22" s="65">
        <f>IF(Table1[[#This Row],[Action Closed]]="Yes",Table1[[#This Row],[Risk Score2]],Table1[[#This Row],[Risk Score]])</f>
        <v>0</v>
      </c>
      <c r="AD22" s="87">
        <f>IF(Table1[[#This Row],[Action Closed]]="Yes",Table1[[#This Row],[Severity After Control Measures]],Table1[[#This Row],[Severity]])</f>
        <v>0</v>
      </c>
      <c r="AE22" s="67"/>
      <c r="AF22" s="67"/>
      <c r="AG22" s="67"/>
      <c r="AH22" s="67"/>
      <c r="AI22" s="67"/>
    </row>
    <row r="23" spans="1:35" s="68" customFormat="1" ht="23.25" customHeight="1" x14ac:dyDescent="0.25">
      <c r="A23" s="3"/>
      <c r="B23" s="194"/>
      <c r="C23" s="4"/>
      <c r="D23" s="4"/>
      <c r="E23" s="4"/>
      <c r="F23" s="4"/>
      <c r="G23" s="4"/>
      <c r="H23" s="4"/>
      <c r="I23" s="4"/>
      <c r="J23" s="91"/>
      <c r="K23" s="90"/>
      <c r="L23" s="92"/>
      <c r="M23" s="65">
        <f>Table1[[#This Row],[Frequency]]*Table1[[#This Row],[Severity]]*Table1[[#This Row],[Likelihood]]</f>
        <v>0</v>
      </c>
      <c r="N23" s="6"/>
      <c r="O23" s="4"/>
      <c r="P23" s="4"/>
      <c r="Q23" s="185"/>
      <c r="R23" s="5"/>
      <c r="S23" s="4"/>
      <c r="T23" s="4"/>
      <c r="U23" s="65">
        <f>Table1[[#This Row],[Frequency After Control Measures]]*Table1[[#This Row],[Severity After Control Measures]]*Table1[[#This Row],[Likelihood After Control Measures]]</f>
        <v>0</v>
      </c>
      <c r="V23" s="86" t="str">
        <f t="shared" si="1"/>
        <v/>
      </c>
      <c r="W23" s="64"/>
      <c r="X23" s="64"/>
      <c r="Y23" s="66"/>
      <c r="Z23" s="66"/>
      <c r="AA23" s="4"/>
      <c r="AB23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23" s="65">
        <f>IF(Table1[[#This Row],[Action Closed]]="Yes",Table1[[#This Row],[Risk Score2]],Table1[[#This Row],[Risk Score]])</f>
        <v>0</v>
      </c>
      <c r="AD23" s="87">
        <f>IF(Table1[[#This Row],[Action Closed]]="Yes",Table1[[#This Row],[Severity After Control Measures]],Table1[[#This Row],[Severity]])</f>
        <v>0</v>
      </c>
      <c r="AE23" s="67"/>
      <c r="AF23" s="67"/>
      <c r="AG23" s="67"/>
      <c r="AH23" s="67"/>
      <c r="AI23" s="67"/>
    </row>
    <row r="24" spans="1:35" s="68" customFormat="1" ht="23.25" customHeight="1" x14ac:dyDescent="0.25">
      <c r="A24" s="3"/>
      <c r="B24" s="194"/>
      <c r="C24" s="4"/>
      <c r="D24" s="4"/>
      <c r="E24" s="4"/>
      <c r="F24" s="4"/>
      <c r="G24" s="4"/>
      <c r="H24" s="4"/>
      <c r="I24" s="4"/>
      <c r="J24" s="5"/>
      <c r="K24" s="4"/>
      <c r="L24" s="4"/>
      <c r="M24" s="65">
        <f>Table1[[#This Row],[Frequency]]*Table1[[#This Row],[Severity]]*Table1[[#This Row],[Likelihood]]</f>
        <v>0</v>
      </c>
      <c r="N24" s="6"/>
      <c r="O24" s="4"/>
      <c r="P24" s="4"/>
      <c r="Q24" s="185"/>
      <c r="R24" s="5"/>
      <c r="S24" s="4"/>
      <c r="T24" s="4"/>
      <c r="U24" s="65">
        <f>Table1[[#This Row],[Frequency After Control Measures]]*Table1[[#This Row],[Severity After Control Measures]]*Table1[[#This Row],[Likelihood After Control Measures]]</f>
        <v>0</v>
      </c>
      <c r="V24" s="86" t="str">
        <f t="shared" si="1"/>
        <v/>
      </c>
      <c r="W24" s="64"/>
      <c r="X24" s="64"/>
      <c r="Y24" s="66"/>
      <c r="Z24" s="66"/>
      <c r="AA24" s="4"/>
      <c r="AB24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24" s="65">
        <f>IF(Table1[[#This Row],[Action Closed]]="Yes",Table1[[#This Row],[Risk Score2]],Table1[[#This Row],[Risk Score]])</f>
        <v>0</v>
      </c>
      <c r="AD24" s="87">
        <f>IF(Table1[[#This Row],[Action Closed]]="Yes",Table1[[#This Row],[Severity After Control Measures]],Table1[[#This Row],[Severity]])</f>
        <v>0</v>
      </c>
      <c r="AE24" s="67"/>
      <c r="AF24" s="67"/>
      <c r="AG24" s="67"/>
      <c r="AH24" s="67"/>
      <c r="AI24" s="67"/>
    </row>
    <row r="25" spans="1:35" s="68" customFormat="1" ht="23.25" customHeight="1" x14ac:dyDescent="0.25">
      <c r="A25" s="3"/>
      <c r="B25" s="194"/>
      <c r="C25" s="4"/>
      <c r="D25" s="4"/>
      <c r="E25" s="4"/>
      <c r="F25" s="4"/>
      <c r="G25" s="4"/>
      <c r="H25" s="4"/>
      <c r="I25" s="4"/>
      <c r="J25" s="5"/>
      <c r="K25" s="4"/>
      <c r="L25" s="4"/>
      <c r="M25" s="65">
        <f>Table1[[#This Row],[Frequency]]*Table1[[#This Row],[Severity]]*Table1[[#This Row],[Likelihood]]</f>
        <v>0</v>
      </c>
      <c r="N25" s="6"/>
      <c r="O25" s="4"/>
      <c r="P25" s="4"/>
      <c r="Q25" s="185"/>
      <c r="R25" s="5"/>
      <c r="S25" s="4"/>
      <c r="T25" s="4"/>
      <c r="U25" s="65">
        <f>Table1[[#This Row],[Frequency After Control Measures]]*Table1[[#This Row],[Severity After Control Measures]]*Table1[[#This Row],[Likelihood After Control Measures]]</f>
        <v>0</v>
      </c>
      <c r="V25" s="86" t="str">
        <f t="shared" si="1"/>
        <v/>
      </c>
      <c r="W25" s="64"/>
      <c r="X25" s="64"/>
      <c r="Y25" s="66"/>
      <c r="Z25" s="66"/>
      <c r="AA25" s="4"/>
      <c r="AB25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25" s="65">
        <f>IF(Table1[[#This Row],[Action Closed]]="Yes",Table1[[#This Row],[Risk Score2]],Table1[[#This Row],[Risk Score]])</f>
        <v>0</v>
      </c>
      <c r="AD25" s="87">
        <f>IF(Table1[[#This Row],[Action Closed]]="Yes",Table1[[#This Row],[Severity After Control Measures]],Table1[[#This Row],[Severity]])</f>
        <v>0</v>
      </c>
      <c r="AE25" s="67"/>
      <c r="AF25" s="67"/>
      <c r="AG25" s="67"/>
      <c r="AH25" s="67"/>
      <c r="AI25" s="67"/>
    </row>
    <row r="26" spans="1:35" s="68" customFormat="1" ht="23.25" customHeight="1" x14ac:dyDescent="0.25">
      <c r="A26" s="3"/>
      <c r="B26" s="194"/>
      <c r="C26" s="4"/>
      <c r="D26" s="4"/>
      <c r="E26" s="4"/>
      <c r="F26" s="4"/>
      <c r="G26" s="4"/>
      <c r="H26" s="4"/>
      <c r="I26" s="4"/>
      <c r="J26" s="5"/>
      <c r="K26" s="4"/>
      <c r="L26" s="4"/>
      <c r="M26" s="65">
        <f>Table1[[#This Row],[Frequency]]*Table1[[#This Row],[Severity]]*Table1[[#This Row],[Likelihood]]</f>
        <v>0</v>
      </c>
      <c r="N26" s="6"/>
      <c r="O26" s="4"/>
      <c r="P26" s="4"/>
      <c r="Q26" s="185"/>
      <c r="R26" s="5"/>
      <c r="S26" s="4"/>
      <c r="T26" s="4"/>
      <c r="U26" s="65">
        <f>Table1[[#This Row],[Frequency After Control Measures]]*Table1[[#This Row],[Severity After Control Measures]]*Table1[[#This Row],[Likelihood After Control Measures]]</f>
        <v>0</v>
      </c>
      <c r="V26" s="86" t="str">
        <f t="shared" si="1"/>
        <v/>
      </c>
      <c r="W26" s="64"/>
      <c r="X26" s="64"/>
      <c r="Y26" s="66"/>
      <c r="Z26" s="66"/>
      <c r="AA26" s="4"/>
      <c r="AB26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26" s="65">
        <f>IF(Table1[[#This Row],[Action Closed]]="Yes",Table1[[#This Row],[Risk Score2]],Table1[[#This Row],[Risk Score]])</f>
        <v>0</v>
      </c>
      <c r="AD26" s="87">
        <f>IF(Table1[[#This Row],[Action Closed]]="Yes",Table1[[#This Row],[Severity After Control Measures]],Table1[[#This Row],[Severity]])</f>
        <v>0</v>
      </c>
      <c r="AE26" s="67"/>
      <c r="AF26" s="67"/>
      <c r="AG26" s="67"/>
      <c r="AH26" s="67"/>
      <c r="AI26" s="67"/>
    </row>
    <row r="27" spans="1:35" s="68" customFormat="1" ht="23.25" customHeight="1" x14ac:dyDescent="0.25">
      <c r="A27" s="3"/>
      <c r="B27" s="194"/>
      <c r="C27" s="4"/>
      <c r="D27" s="4"/>
      <c r="E27" s="4"/>
      <c r="F27" s="4"/>
      <c r="G27" s="4"/>
      <c r="H27" s="4"/>
      <c r="I27" s="4"/>
      <c r="J27" s="5"/>
      <c r="K27" s="4"/>
      <c r="L27" s="4"/>
      <c r="M27" s="65">
        <f>Table1[[#This Row],[Frequency]]*Table1[[#This Row],[Severity]]*Table1[[#This Row],[Likelihood]]</f>
        <v>0</v>
      </c>
      <c r="N27" s="6"/>
      <c r="O27" s="4"/>
      <c r="P27" s="4"/>
      <c r="Q27" s="185"/>
      <c r="R27" s="5"/>
      <c r="S27" s="4"/>
      <c r="T27" s="4"/>
      <c r="U27" s="65">
        <f>Table1[[#This Row],[Frequency After Control Measures]]*Table1[[#This Row],[Severity After Control Measures]]*Table1[[#This Row],[Likelihood After Control Measures]]</f>
        <v>0</v>
      </c>
      <c r="V27" s="86" t="str">
        <f t="shared" si="1"/>
        <v/>
      </c>
      <c r="W27" s="64"/>
      <c r="X27" s="64"/>
      <c r="Y27" s="66"/>
      <c r="Z27" s="66"/>
      <c r="AA27" s="4"/>
      <c r="AB27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27" s="65">
        <f>IF(Table1[[#This Row],[Action Closed]]="Yes",Table1[[#This Row],[Risk Score2]],Table1[[#This Row],[Risk Score]])</f>
        <v>0</v>
      </c>
      <c r="AD27" s="87">
        <f>IF(Table1[[#This Row],[Action Closed]]="Yes",Table1[[#This Row],[Severity After Control Measures]],Table1[[#This Row],[Severity]])</f>
        <v>0</v>
      </c>
      <c r="AE27" s="67"/>
      <c r="AF27" s="67"/>
      <c r="AG27" s="67"/>
      <c r="AH27" s="67"/>
      <c r="AI27" s="67"/>
    </row>
    <row r="28" spans="1:35" s="68" customFormat="1" ht="23.25" customHeight="1" x14ac:dyDescent="0.25">
      <c r="A28" s="3"/>
      <c r="B28" s="194"/>
      <c r="C28" s="4"/>
      <c r="D28" s="4"/>
      <c r="E28" s="4"/>
      <c r="F28" s="4"/>
      <c r="G28" s="4"/>
      <c r="H28" s="4"/>
      <c r="I28" s="4"/>
      <c r="J28" s="5"/>
      <c r="K28" s="4"/>
      <c r="L28" s="4"/>
      <c r="M28" s="65">
        <f>Table1[[#This Row],[Frequency]]*Table1[[#This Row],[Severity]]*Table1[[#This Row],[Likelihood]]</f>
        <v>0</v>
      </c>
      <c r="N28" s="6"/>
      <c r="O28" s="4"/>
      <c r="P28" s="4"/>
      <c r="Q28" s="185"/>
      <c r="R28" s="5"/>
      <c r="S28" s="4"/>
      <c r="T28" s="4"/>
      <c r="U28" s="65">
        <f>Table1[[#This Row],[Frequency After Control Measures]]*Table1[[#This Row],[Severity After Control Measures]]*Table1[[#This Row],[Likelihood After Control Measures]]</f>
        <v>0</v>
      </c>
      <c r="V28" s="86" t="str">
        <f t="shared" si="1"/>
        <v/>
      </c>
      <c r="W28" s="64"/>
      <c r="X28" s="64"/>
      <c r="Y28" s="66"/>
      <c r="Z28" s="66"/>
      <c r="AA28" s="4"/>
      <c r="AB28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28" s="65">
        <f>IF(Table1[[#This Row],[Action Closed]]="Yes",Table1[[#This Row],[Risk Score2]],Table1[[#This Row],[Risk Score]])</f>
        <v>0</v>
      </c>
      <c r="AD28" s="87">
        <f>IF(Table1[[#This Row],[Action Closed]]="Yes",Table1[[#This Row],[Severity After Control Measures]],Table1[[#This Row],[Severity]])</f>
        <v>0</v>
      </c>
      <c r="AE28" s="67"/>
      <c r="AF28" s="67"/>
      <c r="AG28" s="67"/>
      <c r="AH28" s="67"/>
      <c r="AI28" s="67"/>
    </row>
    <row r="29" spans="1:35" s="68" customFormat="1" ht="23.25" customHeight="1" x14ac:dyDescent="0.25">
      <c r="A29" s="3"/>
      <c r="B29" s="194"/>
      <c r="C29" s="4"/>
      <c r="D29" s="4"/>
      <c r="E29" s="4"/>
      <c r="F29" s="4"/>
      <c r="G29" s="4"/>
      <c r="H29" s="4"/>
      <c r="I29" s="4"/>
      <c r="J29" s="5"/>
      <c r="K29" s="4"/>
      <c r="L29" s="4"/>
      <c r="M29" s="65">
        <f>Table1[[#This Row],[Frequency]]*Table1[[#This Row],[Severity]]*Table1[[#This Row],[Likelihood]]</f>
        <v>0</v>
      </c>
      <c r="N29" s="6"/>
      <c r="O29" s="4"/>
      <c r="P29" s="4"/>
      <c r="Q29" s="185"/>
      <c r="R29" s="5"/>
      <c r="S29" s="4"/>
      <c r="T29" s="4"/>
      <c r="U29" s="65"/>
      <c r="V29" s="86"/>
      <c r="W29" s="64"/>
      <c r="X29" s="64"/>
      <c r="Y29" s="66"/>
      <c r="Z29" s="66"/>
      <c r="AA29" s="4"/>
      <c r="AB29" s="84"/>
      <c r="AC29" s="65"/>
      <c r="AD29" s="87"/>
      <c r="AE29" s="67"/>
      <c r="AF29" s="67"/>
      <c r="AG29" s="67"/>
      <c r="AH29" s="67"/>
      <c r="AI29" s="67"/>
    </row>
    <row r="30" spans="1:35" s="68" customFormat="1" ht="23.25" customHeight="1" x14ac:dyDescent="0.25">
      <c r="A30" s="3"/>
      <c r="B30" s="194"/>
      <c r="C30" s="4"/>
      <c r="D30" s="4"/>
      <c r="E30" s="4"/>
      <c r="F30" s="4"/>
      <c r="G30" s="4"/>
      <c r="H30" s="4"/>
      <c r="I30" s="4"/>
      <c r="J30" s="5"/>
      <c r="K30" s="4"/>
      <c r="L30" s="4"/>
      <c r="M30" s="65">
        <f>Table1[[#This Row],[Frequency]]*Table1[[#This Row],[Severity]]*Table1[[#This Row],[Likelihood]]</f>
        <v>0</v>
      </c>
      <c r="N30" s="6"/>
      <c r="O30" s="4"/>
      <c r="P30" s="4"/>
      <c r="Q30" s="185"/>
      <c r="R30" s="5"/>
      <c r="S30" s="4"/>
      <c r="T30" s="4"/>
      <c r="U30" s="65"/>
      <c r="V30" s="86"/>
      <c r="W30" s="64"/>
      <c r="X30" s="64"/>
      <c r="Y30" s="66"/>
      <c r="Z30" s="66"/>
      <c r="AA30" s="4"/>
      <c r="AB30" s="84"/>
      <c r="AC30" s="65"/>
      <c r="AD30" s="87"/>
      <c r="AE30" s="67"/>
      <c r="AF30" s="67"/>
      <c r="AG30" s="67"/>
      <c r="AH30" s="67"/>
      <c r="AI30" s="67"/>
    </row>
    <row r="31" spans="1:35" s="68" customFormat="1" ht="23.25" x14ac:dyDescent="0.25">
      <c r="A31" s="3"/>
      <c r="B31" s="194"/>
      <c r="C31" s="4"/>
      <c r="D31" s="4"/>
      <c r="E31" s="4"/>
      <c r="F31" s="4"/>
      <c r="G31" s="4"/>
      <c r="H31" s="4"/>
      <c r="I31" s="4"/>
      <c r="J31" s="5"/>
      <c r="K31" s="4"/>
      <c r="L31" s="4"/>
      <c r="M31" s="65">
        <f>Table1[[#This Row],[Frequency]]*Table1[[#This Row],[Severity]]*Table1[[#This Row],[Likelihood]]</f>
        <v>0</v>
      </c>
      <c r="N31" s="6"/>
      <c r="O31" s="4"/>
      <c r="P31" s="4"/>
      <c r="Q31" s="185"/>
      <c r="R31" s="5"/>
      <c r="S31" s="4"/>
      <c r="T31" s="4"/>
      <c r="U31" s="65"/>
      <c r="V31" s="86"/>
      <c r="W31" s="64"/>
      <c r="X31" s="64"/>
      <c r="Y31" s="66"/>
      <c r="Z31" s="66"/>
      <c r="AA31" s="4"/>
      <c r="AB31" s="84"/>
      <c r="AC31" s="65"/>
      <c r="AD31" s="87"/>
      <c r="AE31" s="67"/>
      <c r="AF31" s="67"/>
      <c r="AG31" s="67"/>
      <c r="AH31" s="67"/>
      <c r="AI31" s="67"/>
    </row>
    <row r="32" spans="1:35" s="68" customFormat="1" ht="23.25" x14ac:dyDescent="0.25">
      <c r="A32" s="3"/>
      <c r="B32" s="194"/>
      <c r="C32" s="4"/>
      <c r="D32" s="4"/>
      <c r="E32" s="4"/>
      <c r="F32" s="4"/>
      <c r="G32" s="4"/>
      <c r="H32" s="4"/>
      <c r="I32" s="4"/>
      <c r="J32" s="5"/>
      <c r="K32" s="4"/>
      <c r="L32" s="4"/>
      <c r="M32" s="65">
        <f>Table1[[#This Row],[Frequency]]*Table1[[#This Row],[Severity]]*Table1[[#This Row],[Likelihood]]</f>
        <v>0</v>
      </c>
      <c r="N32" s="6"/>
      <c r="O32" s="4"/>
      <c r="P32" s="4"/>
      <c r="Q32" s="185"/>
      <c r="R32" s="5"/>
      <c r="S32" s="4"/>
      <c r="T32" s="4"/>
      <c r="U32" s="65"/>
      <c r="V32" s="86"/>
      <c r="W32" s="64"/>
      <c r="X32" s="64"/>
      <c r="Y32" s="66"/>
      <c r="Z32" s="66"/>
      <c r="AA32" s="4"/>
      <c r="AB32" s="84"/>
      <c r="AC32" s="65"/>
      <c r="AD32" s="87"/>
      <c r="AE32" s="67"/>
      <c r="AF32" s="67"/>
      <c r="AG32" s="67"/>
      <c r="AH32" s="67"/>
      <c r="AI32" s="67"/>
    </row>
    <row r="33" spans="1:35" s="68" customFormat="1" ht="23.25" x14ac:dyDescent="0.25">
      <c r="A33" s="3"/>
      <c r="B33" s="194"/>
      <c r="C33" s="4"/>
      <c r="D33" s="4"/>
      <c r="E33" s="4"/>
      <c r="F33" s="4"/>
      <c r="G33" s="4"/>
      <c r="H33" s="4"/>
      <c r="I33" s="4"/>
      <c r="J33" s="5"/>
      <c r="K33" s="4"/>
      <c r="L33" s="4"/>
      <c r="M33" s="65">
        <f>Table1[[#This Row],[Frequency]]*Table1[[#This Row],[Severity]]*Table1[[#This Row],[Likelihood]]</f>
        <v>0</v>
      </c>
      <c r="N33" s="6"/>
      <c r="O33" s="4"/>
      <c r="P33" s="4"/>
      <c r="Q33" s="185"/>
      <c r="R33" s="5"/>
      <c r="S33" s="4"/>
      <c r="T33" s="4"/>
      <c r="U33" s="65"/>
      <c r="V33" s="86"/>
      <c r="W33" s="64"/>
      <c r="X33" s="64"/>
      <c r="Y33" s="66"/>
      <c r="Z33" s="66"/>
      <c r="AA33" s="4"/>
      <c r="AB33" s="84"/>
      <c r="AC33" s="65"/>
      <c r="AD33" s="87"/>
      <c r="AE33" s="67"/>
      <c r="AF33" s="67"/>
      <c r="AG33" s="67"/>
      <c r="AH33" s="67"/>
      <c r="AI33" s="67"/>
    </row>
    <row r="34" spans="1:35" s="68" customFormat="1" ht="23.25" x14ac:dyDescent="0.25">
      <c r="A34" s="3"/>
      <c r="B34" s="194"/>
      <c r="C34" s="4"/>
      <c r="D34" s="4"/>
      <c r="E34" s="4"/>
      <c r="F34" s="4"/>
      <c r="G34" s="4"/>
      <c r="H34" s="4"/>
      <c r="I34" s="4"/>
      <c r="J34" s="5"/>
      <c r="K34" s="4"/>
      <c r="L34" s="4"/>
      <c r="M34" s="65">
        <f>Table1[[#This Row],[Frequency]]*Table1[[#This Row],[Severity]]*Table1[[#This Row],[Likelihood]]</f>
        <v>0</v>
      </c>
      <c r="N34" s="6"/>
      <c r="O34" s="4"/>
      <c r="P34" s="4"/>
      <c r="Q34" s="185"/>
      <c r="R34" s="5"/>
      <c r="S34" s="4"/>
      <c r="T34" s="4"/>
      <c r="U34" s="65"/>
      <c r="V34" s="86"/>
      <c r="W34" s="64"/>
      <c r="X34" s="64"/>
      <c r="Y34" s="66"/>
      <c r="Z34" s="66"/>
      <c r="AA34" s="4"/>
      <c r="AB34" s="84"/>
      <c r="AC34" s="65"/>
      <c r="AD34" s="87"/>
      <c r="AE34" s="67"/>
      <c r="AF34" s="67"/>
      <c r="AG34" s="67"/>
      <c r="AH34" s="67"/>
      <c r="AI34" s="67"/>
    </row>
    <row r="35" spans="1:35" s="68" customFormat="1" ht="23.25" x14ac:dyDescent="0.25">
      <c r="A35" s="3"/>
      <c r="B35" s="194"/>
      <c r="C35" s="4"/>
      <c r="D35" s="4"/>
      <c r="E35" s="4"/>
      <c r="F35" s="4"/>
      <c r="G35" s="4"/>
      <c r="H35" s="4"/>
      <c r="I35" s="4"/>
      <c r="J35" s="5"/>
      <c r="K35" s="4"/>
      <c r="L35" s="4"/>
      <c r="M35" s="65">
        <f>Table1[[#This Row],[Frequency]]*Table1[[#This Row],[Severity]]*Table1[[#This Row],[Likelihood]]</f>
        <v>0</v>
      </c>
      <c r="N35" s="6"/>
      <c r="O35" s="4"/>
      <c r="P35" s="4"/>
      <c r="Q35" s="185"/>
      <c r="R35" s="5"/>
      <c r="S35" s="4"/>
      <c r="T35" s="4"/>
      <c r="U35" s="65"/>
      <c r="V35" s="86"/>
      <c r="W35" s="64"/>
      <c r="X35" s="64"/>
      <c r="Y35" s="66"/>
      <c r="Z35" s="66"/>
      <c r="AA35" s="4"/>
      <c r="AB35" s="84"/>
      <c r="AC35" s="65"/>
      <c r="AD35" s="87"/>
      <c r="AE35" s="67"/>
      <c r="AF35" s="67"/>
      <c r="AG35" s="67"/>
      <c r="AH35" s="67"/>
      <c r="AI35" s="67"/>
    </row>
    <row r="36" spans="1:35" s="68" customFormat="1" ht="23.25" x14ac:dyDescent="0.25">
      <c r="A36" s="3"/>
      <c r="B36" s="194"/>
      <c r="C36" s="4"/>
      <c r="D36" s="4"/>
      <c r="E36" s="4"/>
      <c r="F36" s="4"/>
      <c r="G36" s="4"/>
      <c r="H36" s="4"/>
      <c r="I36" s="4"/>
      <c r="J36" s="5"/>
      <c r="K36" s="4"/>
      <c r="L36" s="4"/>
      <c r="M36" s="65">
        <f>Table1[[#This Row],[Frequency]]*Table1[[#This Row],[Severity]]*Table1[[#This Row],[Likelihood]]</f>
        <v>0</v>
      </c>
      <c r="N36" s="6"/>
      <c r="O36" s="4"/>
      <c r="P36" s="4"/>
      <c r="Q36" s="185"/>
      <c r="R36" s="5"/>
      <c r="S36" s="4"/>
      <c r="T36" s="4"/>
      <c r="U36" s="65"/>
      <c r="V36" s="86"/>
      <c r="W36" s="64"/>
      <c r="X36" s="64"/>
      <c r="Y36" s="66"/>
      <c r="Z36" s="66"/>
      <c r="AA36" s="4"/>
      <c r="AB36" s="84"/>
      <c r="AC36" s="65"/>
      <c r="AD36" s="87"/>
      <c r="AE36" s="67"/>
      <c r="AF36" s="67"/>
      <c r="AG36" s="67"/>
      <c r="AH36" s="67"/>
      <c r="AI36" s="67"/>
    </row>
    <row r="37" spans="1:35" s="68" customFormat="1" ht="23.25" x14ac:dyDescent="0.25">
      <c r="A37" s="3"/>
      <c r="B37" s="194"/>
      <c r="C37" s="4"/>
      <c r="D37" s="4"/>
      <c r="E37" s="4"/>
      <c r="F37" s="4"/>
      <c r="G37" s="4"/>
      <c r="H37" s="4"/>
      <c r="I37" s="4"/>
      <c r="J37" s="5"/>
      <c r="K37" s="4"/>
      <c r="L37" s="4"/>
      <c r="M37" s="65">
        <f>Table1[[#This Row],[Frequency]]*Table1[[#This Row],[Severity]]*Table1[[#This Row],[Likelihood]]</f>
        <v>0</v>
      </c>
      <c r="N37" s="6"/>
      <c r="O37" s="4"/>
      <c r="P37" s="4"/>
      <c r="Q37" s="185"/>
      <c r="R37" s="5"/>
      <c r="S37" s="4"/>
      <c r="T37" s="4"/>
      <c r="U37" s="65"/>
      <c r="V37" s="86"/>
      <c r="W37" s="64"/>
      <c r="X37" s="64"/>
      <c r="Y37" s="66"/>
      <c r="Z37" s="66"/>
      <c r="AA37" s="4"/>
      <c r="AB37" s="84"/>
      <c r="AC37" s="65"/>
      <c r="AD37" s="87"/>
      <c r="AE37" s="67"/>
      <c r="AF37" s="67"/>
      <c r="AG37" s="67"/>
      <c r="AH37" s="67"/>
      <c r="AI37" s="67"/>
    </row>
    <row r="38" spans="1:35" s="68" customFormat="1" ht="23.25" x14ac:dyDescent="0.25">
      <c r="A38" s="3"/>
      <c r="B38" s="194"/>
      <c r="C38" s="4"/>
      <c r="D38" s="4"/>
      <c r="E38" s="4"/>
      <c r="F38" s="4"/>
      <c r="G38" s="4"/>
      <c r="H38" s="4"/>
      <c r="I38" s="4"/>
      <c r="J38" s="5"/>
      <c r="K38" s="4"/>
      <c r="L38" s="4"/>
      <c r="M38" s="65">
        <f>Table1[[#This Row],[Frequency]]*Table1[[#This Row],[Severity]]*Table1[[#This Row],[Likelihood]]</f>
        <v>0</v>
      </c>
      <c r="N38" s="6"/>
      <c r="O38" s="4"/>
      <c r="P38" s="4"/>
      <c r="Q38" s="185"/>
      <c r="R38" s="5"/>
      <c r="S38" s="4"/>
      <c r="T38" s="4"/>
      <c r="U38" s="65"/>
      <c r="V38" s="86"/>
      <c r="W38" s="64"/>
      <c r="X38" s="64"/>
      <c r="Y38" s="66"/>
      <c r="Z38" s="66"/>
      <c r="AA38" s="4"/>
      <c r="AB38" s="84"/>
      <c r="AC38" s="65"/>
      <c r="AD38" s="87"/>
      <c r="AE38" s="67"/>
      <c r="AF38" s="67"/>
      <c r="AG38" s="67"/>
      <c r="AH38" s="67"/>
      <c r="AI38" s="67"/>
    </row>
    <row r="39" spans="1:35" s="68" customFormat="1" ht="23.25" x14ac:dyDescent="0.25">
      <c r="A39" s="3"/>
      <c r="B39" s="194"/>
      <c r="C39" s="4"/>
      <c r="D39" s="4"/>
      <c r="E39" s="4"/>
      <c r="F39" s="4"/>
      <c r="G39" s="4"/>
      <c r="H39" s="4"/>
      <c r="I39" s="4"/>
      <c r="J39" s="5"/>
      <c r="K39" s="4"/>
      <c r="L39" s="4"/>
      <c r="M39" s="65">
        <f>Table1[[#This Row],[Frequency]]*Table1[[#This Row],[Severity]]*Table1[[#This Row],[Likelihood]]</f>
        <v>0</v>
      </c>
      <c r="N39" s="6"/>
      <c r="O39" s="4"/>
      <c r="P39" s="4"/>
      <c r="Q39" s="185"/>
      <c r="R39" s="5"/>
      <c r="S39" s="4"/>
      <c r="T39" s="4"/>
      <c r="U39" s="65"/>
      <c r="V39" s="86"/>
      <c r="W39" s="64"/>
      <c r="X39" s="64"/>
      <c r="Y39" s="66"/>
      <c r="Z39" s="66"/>
      <c r="AA39" s="4"/>
      <c r="AB39" s="84"/>
      <c r="AC39" s="65"/>
      <c r="AD39" s="87"/>
      <c r="AE39" s="67"/>
      <c r="AF39" s="67"/>
      <c r="AG39" s="67"/>
      <c r="AH39" s="67"/>
      <c r="AI39" s="67"/>
    </row>
    <row r="40" spans="1:35" s="68" customFormat="1" ht="23.25" x14ac:dyDescent="0.25">
      <c r="A40" s="3"/>
      <c r="B40" s="194"/>
      <c r="C40" s="4"/>
      <c r="D40" s="4"/>
      <c r="E40" s="4"/>
      <c r="F40" s="4"/>
      <c r="G40" s="4"/>
      <c r="H40" s="4"/>
      <c r="I40" s="4"/>
      <c r="J40" s="5"/>
      <c r="K40" s="4"/>
      <c r="L40" s="4"/>
      <c r="M40" s="65">
        <f>Table1[[#This Row],[Frequency]]*Table1[[#This Row],[Severity]]*Table1[[#This Row],[Likelihood]]</f>
        <v>0</v>
      </c>
      <c r="N40" s="6"/>
      <c r="O40" s="4"/>
      <c r="P40" s="4"/>
      <c r="Q40" s="185"/>
      <c r="R40" s="5"/>
      <c r="S40" s="4"/>
      <c r="T40" s="4"/>
      <c r="U40" s="65"/>
      <c r="V40" s="86"/>
      <c r="W40" s="64"/>
      <c r="X40" s="64"/>
      <c r="Y40" s="66"/>
      <c r="Z40" s="66"/>
      <c r="AA40" s="4"/>
      <c r="AB40" s="84"/>
      <c r="AC40" s="65"/>
      <c r="AD40" s="87"/>
      <c r="AE40" s="67"/>
      <c r="AF40" s="67"/>
      <c r="AG40" s="67"/>
      <c r="AH40" s="67"/>
      <c r="AI40" s="67"/>
    </row>
    <row r="41" spans="1:35" s="68" customFormat="1" ht="23.25" x14ac:dyDescent="0.25">
      <c r="A41" s="3"/>
      <c r="B41" s="194"/>
      <c r="C41" s="4"/>
      <c r="D41" s="4"/>
      <c r="E41" s="4"/>
      <c r="F41" s="4"/>
      <c r="G41" s="4"/>
      <c r="H41" s="4"/>
      <c r="I41" s="4"/>
      <c r="J41" s="5"/>
      <c r="K41" s="4"/>
      <c r="L41" s="4"/>
      <c r="M41" s="65">
        <f>Table1[[#This Row],[Frequency]]*Table1[[#This Row],[Severity]]*Table1[[#This Row],[Likelihood]]</f>
        <v>0</v>
      </c>
      <c r="N41" s="6"/>
      <c r="O41" s="4"/>
      <c r="P41" s="4"/>
      <c r="Q41" s="185"/>
      <c r="R41" s="5"/>
      <c r="S41" s="4"/>
      <c r="T41" s="4"/>
      <c r="U41" s="65">
        <f>Table1[[#This Row],[Frequency After Control Measures]]*Table1[[#This Row],[Severity After Control Measures]]*Table1[[#This Row],[Likelihood After Control Measures]]</f>
        <v>0</v>
      </c>
      <c r="V41" s="86" t="str">
        <f t="shared" si="1"/>
        <v/>
      </c>
      <c r="W41" s="64"/>
      <c r="X41" s="64"/>
      <c r="Y41" s="66"/>
      <c r="Z41" s="66"/>
      <c r="AA41" s="4"/>
      <c r="AB41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41" s="65">
        <f>IF(Table1[[#This Row],[Action Closed]]="Yes",Table1[[#This Row],[Risk Score2]],Table1[[#This Row],[Risk Score]])</f>
        <v>0</v>
      </c>
      <c r="AD41" s="87">
        <f>IF(Table1[[#This Row],[Action Closed]]="Yes",Table1[[#This Row],[Severity After Control Measures]],Table1[[#This Row],[Severity]])</f>
        <v>0</v>
      </c>
      <c r="AE41" s="67"/>
      <c r="AF41" s="67"/>
      <c r="AG41" s="67"/>
      <c r="AH41" s="67"/>
      <c r="AI41" s="67"/>
    </row>
    <row r="42" spans="1:35" s="68" customFormat="1" ht="23.25" x14ac:dyDescent="0.25">
      <c r="A42" s="3"/>
      <c r="B42" s="194"/>
      <c r="C42" s="4"/>
      <c r="D42" s="4"/>
      <c r="E42" s="4"/>
      <c r="F42" s="4"/>
      <c r="G42" s="4"/>
      <c r="H42" s="4"/>
      <c r="I42" s="4"/>
      <c r="J42" s="5"/>
      <c r="K42" s="4"/>
      <c r="L42" s="4"/>
      <c r="M42" s="65">
        <f>Table1[[#This Row],[Frequency]]*Table1[[#This Row],[Severity]]*Table1[[#This Row],[Likelihood]]</f>
        <v>0</v>
      </c>
      <c r="N42" s="6"/>
      <c r="O42" s="4"/>
      <c r="P42" s="4"/>
      <c r="Q42" s="185"/>
      <c r="R42" s="5"/>
      <c r="S42" s="4"/>
      <c r="T42" s="4"/>
      <c r="U42" s="65">
        <f>Table1[[#This Row],[Frequency After Control Measures]]*Table1[[#This Row],[Severity After Control Measures]]*Table1[[#This Row],[Likelihood After Control Measures]]</f>
        <v>0</v>
      </c>
      <c r="V42" s="86" t="str">
        <f t="shared" si="1"/>
        <v/>
      </c>
      <c r="W42" s="64"/>
      <c r="X42" s="64"/>
      <c r="Y42" s="66"/>
      <c r="Z42" s="66"/>
      <c r="AA42" s="4"/>
      <c r="AB42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42" s="65">
        <f>IF(Table1[[#This Row],[Action Closed]]="Yes",Table1[[#This Row],[Risk Score2]],Table1[[#This Row],[Risk Score]])</f>
        <v>0</v>
      </c>
      <c r="AD42" s="87">
        <f>IF(Table1[[#This Row],[Action Closed]]="Yes",Table1[[#This Row],[Severity After Control Measures]],Table1[[#This Row],[Severity]])</f>
        <v>0</v>
      </c>
      <c r="AE42" s="67"/>
      <c r="AF42" s="67"/>
      <c r="AG42" s="67"/>
      <c r="AH42" s="67"/>
      <c r="AI42" s="67"/>
    </row>
    <row r="43" spans="1:35" s="68" customFormat="1" ht="23.25" x14ac:dyDescent="0.25">
      <c r="A43" s="3"/>
      <c r="B43" s="194"/>
      <c r="C43" s="4"/>
      <c r="D43" s="4"/>
      <c r="E43" s="4"/>
      <c r="F43" s="4"/>
      <c r="G43" s="4"/>
      <c r="H43" s="4"/>
      <c r="I43" s="4"/>
      <c r="J43" s="5"/>
      <c r="K43" s="4"/>
      <c r="L43" s="4"/>
      <c r="M43" s="65">
        <f>Table1[[#This Row],[Frequency]]*Table1[[#This Row],[Severity]]*Table1[[#This Row],[Likelihood]]</f>
        <v>0</v>
      </c>
      <c r="N43" s="6"/>
      <c r="O43" s="4"/>
      <c r="P43" s="4"/>
      <c r="Q43" s="185"/>
      <c r="R43" s="5"/>
      <c r="S43" s="4"/>
      <c r="T43" s="4"/>
      <c r="U43" s="65">
        <f>Table1[[#This Row],[Frequency After Control Measures]]*Table1[[#This Row],[Severity After Control Measures]]*Table1[[#This Row],[Likelihood After Control Measures]]</f>
        <v>0</v>
      </c>
      <c r="V43" s="86" t="str">
        <f t="shared" si="1"/>
        <v/>
      </c>
      <c r="W43" s="64"/>
      <c r="X43" s="64"/>
      <c r="Y43" s="66"/>
      <c r="Z43" s="66"/>
      <c r="AA43" s="4"/>
      <c r="AB43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43" s="65">
        <f>IF(Table1[[#This Row],[Action Closed]]="Yes",Table1[[#This Row],[Risk Score2]],Table1[[#This Row],[Risk Score]])</f>
        <v>0</v>
      </c>
      <c r="AD43" s="87">
        <f>IF(Table1[[#This Row],[Action Closed]]="Yes",Table1[[#This Row],[Severity After Control Measures]],Table1[[#This Row],[Severity]])</f>
        <v>0</v>
      </c>
      <c r="AE43" s="67"/>
      <c r="AF43" s="67"/>
      <c r="AG43" s="67"/>
      <c r="AH43" s="67"/>
      <c r="AI43" s="67"/>
    </row>
    <row r="44" spans="1:35" s="68" customFormat="1" ht="23.25" x14ac:dyDescent="0.25">
      <c r="A44" s="3"/>
      <c r="B44" s="194"/>
      <c r="C44" s="4"/>
      <c r="D44" s="4"/>
      <c r="E44" s="4"/>
      <c r="F44" s="4"/>
      <c r="G44" s="4"/>
      <c r="H44" s="4"/>
      <c r="I44" s="4"/>
      <c r="J44" s="5"/>
      <c r="K44" s="4"/>
      <c r="L44" s="4"/>
      <c r="M44" s="65">
        <f>Table1[[#This Row],[Frequency]]*Table1[[#This Row],[Severity]]*Table1[[#This Row],[Likelihood]]</f>
        <v>0</v>
      </c>
      <c r="N44" s="6"/>
      <c r="O44" s="4"/>
      <c r="P44" s="4"/>
      <c r="Q44" s="185"/>
      <c r="R44" s="5"/>
      <c r="S44" s="4"/>
      <c r="T44" s="4"/>
      <c r="U44" s="65">
        <f>Table1[[#This Row],[Frequency After Control Measures]]*Table1[[#This Row],[Severity After Control Measures]]*Table1[[#This Row],[Likelihood After Control Measures]]</f>
        <v>0</v>
      </c>
      <c r="V44" s="86" t="str">
        <f t="shared" si="1"/>
        <v/>
      </c>
      <c r="W44" s="64"/>
      <c r="X44" s="64"/>
      <c r="Y44" s="66"/>
      <c r="Z44" s="66"/>
      <c r="AA44" s="4"/>
      <c r="AB44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44" s="65">
        <f>IF(Table1[[#This Row],[Action Closed]]="Yes",Table1[[#This Row],[Risk Score2]],Table1[[#This Row],[Risk Score]])</f>
        <v>0</v>
      </c>
      <c r="AD44" s="87">
        <f>IF(Table1[[#This Row],[Action Closed]]="Yes",Table1[[#This Row],[Severity After Control Measures]],Table1[[#This Row],[Severity]])</f>
        <v>0</v>
      </c>
      <c r="AE44" s="67"/>
      <c r="AF44" s="67"/>
      <c r="AG44" s="67"/>
      <c r="AH44" s="67"/>
      <c r="AI44" s="67"/>
    </row>
    <row r="45" spans="1:35" s="68" customFormat="1" ht="23.25" x14ac:dyDescent="0.25">
      <c r="A45" s="3"/>
      <c r="B45" s="194"/>
      <c r="C45" s="4"/>
      <c r="D45" s="4"/>
      <c r="E45" s="4"/>
      <c r="F45" s="4"/>
      <c r="G45" s="4"/>
      <c r="H45" s="4"/>
      <c r="I45" s="4"/>
      <c r="J45" s="5"/>
      <c r="K45" s="4"/>
      <c r="L45" s="4"/>
      <c r="M45" s="65">
        <f>Table1[[#This Row],[Frequency]]*Table1[[#This Row],[Severity]]*Table1[[#This Row],[Likelihood]]</f>
        <v>0</v>
      </c>
      <c r="N45" s="6"/>
      <c r="O45" s="4"/>
      <c r="P45" s="4"/>
      <c r="Q45" s="185"/>
      <c r="R45" s="5"/>
      <c r="S45" s="4"/>
      <c r="T45" s="4"/>
      <c r="U45" s="65">
        <f>Table1[[#This Row],[Frequency After Control Measures]]*Table1[[#This Row],[Severity After Control Measures]]*Table1[[#This Row],[Likelihood After Control Measures]]</f>
        <v>0</v>
      </c>
      <c r="V45" s="86" t="str">
        <f t="shared" si="1"/>
        <v/>
      </c>
      <c r="W45" s="64"/>
      <c r="X45" s="64"/>
      <c r="Y45" s="66"/>
      <c r="Z45" s="66"/>
      <c r="AA45" s="4"/>
      <c r="AB45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45" s="65">
        <f>IF(Table1[[#This Row],[Action Closed]]="Yes",Table1[[#This Row],[Risk Score2]],Table1[[#This Row],[Risk Score]])</f>
        <v>0</v>
      </c>
      <c r="AD45" s="87">
        <f>IF(Table1[[#This Row],[Action Closed]]="Yes",Table1[[#This Row],[Severity After Control Measures]],Table1[[#This Row],[Severity]])</f>
        <v>0</v>
      </c>
      <c r="AE45" s="67"/>
      <c r="AF45" s="67"/>
      <c r="AG45" s="67"/>
      <c r="AH45" s="67"/>
      <c r="AI45" s="67"/>
    </row>
    <row r="46" spans="1:35" s="68" customFormat="1" ht="23.25" x14ac:dyDescent="0.25">
      <c r="A46" s="3"/>
      <c r="B46" s="194"/>
      <c r="C46" s="4"/>
      <c r="D46" s="4"/>
      <c r="E46" s="4"/>
      <c r="F46" s="4"/>
      <c r="G46" s="4"/>
      <c r="H46" s="4"/>
      <c r="I46" s="4"/>
      <c r="J46" s="5"/>
      <c r="K46" s="4"/>
      <c r="L46" s="4"/>
      <c r="M46" s="65">
        <f>Table1[[#This Row],[Frequency]]*Table1[[#This Row],[Severity]]*Table1[[#This Row],[Likelihood]]</f>
        <v>0</v>
      </c>
      <c r="N46" s="6"/>
      <c r="O46" s="4"/>
      <c r="P46" s="4"/>
      <c r="Q46" s="185"/>
      <c r="R46" s="5"/>
      <c r="S46" s="4"/>
      <c r="T46" s="4"/>
      <c r="U46" s="65">
        <f>Table1[[#This Row],[Frequency After Control Measures]]*Table1[[#This Row],[Severity After Control Measures]]*Table1[[#This Row],[Likelihood After Control Measures]]</f>
        <v>0</v>
      </c>
      <c r="V46" s="86" t="str">
        <f t="shared" ref="V46:V88" si="2">IFERROR((M46-U46)/M46,"")</f>
        <v/>
      </c>
      <c r="W46" s="64"/>
      <c r="X46" s="64"/>
      <c r="Y46" s="66"/>
      <c r="Z46" s="66"/>
      <c r="AA46" s="4"/>
      <c r="AB46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46" s="65">
        <f>IF(Table1[[#This Row],[Action Closed]]="Yes",Table1[[#This Row],[Risk Score2]],Table1[[#This Row],[Risk Score]])</f>
        <v>0</v>
      </c>
      <c r="AD46" s="87">
        <f>IF(Table1[[#This Row],[Action Closed]]="Yes",Table1[[#This Row],[Severity After Control Measures]],Table1[[#This Row],[Severity]])</f>
        <v>0</v>
      </c>
      <c r="AE46" s="67"/>
      <c r="AF46" s="67"/>
      <c r="AG46" s="67"/>
      <c r="AH46" s="67"/>
      <c r="AI46" s="67"/>
    </row>
    <row r="47" spans="1:35" s="68" customFormat="1" ht="23.25" x14ac:dyDescent="0.25">
      <c r="A47" s="3"/>
      <c r="B47" s="194"/>
      <c r="C47" s="4"/>
      <c r="D47" s="4"/>
      <c r="E47" s="4"/>
      <c r="F47" s="4"/>
      <c r="G47" s="4"/>
      <c r="H47" s="4"/>
      <c r="I47" s="4"/>
      <c r="J47" s="5"/>
      <c r="K47" s="4"/>
      <c r="L47" s="4"/>
      <c r="M47" s="65">
        <f>Table1[[#This Row],[Frequency]]*Table1[[#This Row],[Severity]]*Table1[[#This Row],[Likelihood]]</f>
        <v>0</v>
      </c>
      <c r="N47" s="6"/>
      <c r="O47" s="4"/>
      <c r="P47" s="4"/>
      <c r="Q47" s="185"/>
      <c r="R47" s="5"/>
      <c r="S47" s="4"/>
      <c r="T47" s="4"/>
      <c r="U47" s="65">
        <f>Table1[[#This Row],[Frequency After Control Measures]]*Table1[[#This Row],[Severity After Control Measures]]*Table1[[#This Row],[Likelihood After Control Measures]]</f>
        <v>0</v>
      </c>
      <c r="V47" s="86" t="str">
        <f t="shared" si="2"/>
        <v/>
      </c>
      <c r="W47" s="64"/>
      <c r="X47" s="64"/>
      <c r="Y47" s="66"/>
      <c r="Z47" s="66"/>
      <c r="AA47" s="4"/>
      <c r="AB47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47" s="65">
        <f>IF(Table1[[#This Row],[Action Closed]]="Yes",Table1[[#This Row],[Risk Score2]],Table1[[#This Row],[Risk Score]])</f>
        <v>0</v>
      </c>
      <c r="AD47" s="87">
        <f>IF(Table1[[#This Row],[Action Closed]]="Yes",Table1[[#This Row],[Severity After Control Measures]],Table1[[#This Row],[Severity]])</f>
        <v>0</v>
      </c>
      <c r="AE47" s="67"/>
      <c r="AF47" s="67"/>
      <c r="AG47" s="67"/>
      <c r="AH47" s="67"/>
      <c r="AI47" s="67"/>
    </row>
    <row r="48" spans="1:35" s="68" customFormat="1" ht="23.25" x14ac:dyDescent="0.25">
      <c r="A48" s="3"/>
      <c r="B48" s="194"/>
      <c r="C48" s="4"/>
      <c r="D48" s="4"/>
      <c r="E48" s="4"/>
      <c r="F48" s="4"/>
      <c r="G48" s="4"/>
      <c r="H48" s="4"/>
      <c r="I48" s="4"/>
      <c r="J48" s="5"/>
      <c r="K48" s="4"/>
      <c r="L48" s="4"/>
      <c r="M48" s="65">
        <f>Table1[[#This Row],[Frequency]]*Table1[[#This Row],[Severity]]*Table1[[#This Row],[Likelihood]]</f>
        <v>0</v>
      </c>
      <c r="N48" s="6"/>
      <c r="O48" s="4"/>
      <c r="P48" s="4"/>
      <c r="Q48" s="185"/>
      <c r="R48" s="5"/>
      <c r="S48" s="4"/>
      <c r="T48" s="4"/>
      <c r="U48" s="65">
        <f>Table1[[#This Row],[Frequency After Control Measures]]*Table1[[#This Row],[Severity After Control Measures]]*Table1[[#This Row],[Likelihood After Control Measures]]</f>
        <v>0</v>
      </c>
      <c r="V48" s="86" t="str">
        <f t="shared" si="2"/>
        <v/>
      </c>
      <c r="W48" s="64"/>
      <c r="X48" s="64"/>
      <c r="Y48" s="66"/>
      <c r="Z48" s="66"/>
      <c r="AA48" s="4"/>
      <c r="AB48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48" s="65">
        <f>IF(Table1[[#This Row],[Action Closed]]="Yes",Table1[[#This Row],[Risk Score2]],Table1[[#This Row],[Risk Score]])</f>
        <v>0</v>
      </c>
      <c r="AD48" s="87">
        <f>IF(Table1[[#This Row],[Action Closed]]="Yes",Table1[[#This Row],[Severity After Control Measures]],Table1[[#This Row],[Severity]])</f>
        <v>0</v>
      </c>
      <c r="AE48" s="67"/>
      <c r="AF48" s="67"/>
      <c r="AG48" s="67"/>
      <c r="AH48" s="67"/>
      <c r="AI48" s="67"/>
    </row>
    <row r="49" spans="1:35" s="68" customFormat="1" ht="23.25" x14ac:dyDescent="0.25">
      <c r="A49" s="3"/>
      <c r="B49" s="194"/>
      <c r="C49" s="4"/>
      <c r="D49" s="4"/>
      <c r="E49" s="4"/>
      <c r="F49" s="4"/>
      <c r="G49" s="4"/>
      <c r="H49" s="4"/>
      <c r="I49" s="4"/>
      <c r="J49" s="5"/>
      <c r="K49" s="4"/>
      <c r="L49" s="4"/>
      <c r="M49" s="65">
        <f>Table1[[#This Row],[Frequency]]*Table1[[#This Row],[Severity]]*Table1[[#This Row],[Likelihood]]</f>
        <v>0</v>
      </c>
      <c r="N49" s="6"/>
      <c r="O49" s="4"/>
      <c r="P49" s="4"/>
      <c r="Q49" s="185"/>
      <c r="R49" s="5"/>
      <c r="S49" s="4"/>
      <c r="T49" s="4"/>
      <c r="U49" s="65">
        <f>Table1[[#This Row],[Frequency After Control Measures]]*Table1[[#This Row],[Severity After Control Measures]]*Table1[[#This Row],[Likelihood After Control Measures]]</f>
        <v>0</v>
      </c>
      <c r="V49" s="86" t="str">
        <f t="shared" si="2"/>
        <v/>
      </c>
      <c r="W49" s="64"/>
      <c r="X49" s="64"/>
      <c r="Y49" s="66"/>
      <c r="Z49" s="66"/>
      <c r="AA49" s="4"/>
      <c r="AB49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49" s="65">
        <f>IF(Table1[[#This Row],[Action Closed]]="Yes",Table1[[#This Row],[Risk Score2]],Table1[[#This Row],[Risk Score]])</f>
        <v>0</v>
      </c>
      <c r="AD49" s="87">
        <f>IF(Table1[[#This Row],[Action Closed]]="Yes",Table1[[#This Row],[Severity After Control Measures]],Table1[[#This Row],[Severity]])</f>
        <v>0</v>
      </c>
      <c r="AE49" s="67"/>
      <c r="AF49" s="67"/>
      <c r="AG49" s="67"/>
      <c r="AH49" s="67"/>
      <c r="AI49" s="67"/>
    </row>
    <row r="50" spans="1:35" s="68" customFormat="1" ht="23.25" x14ac:dyDescent="0.25">
      <c r="A50" s="3"/>
      <c r="B50" s="194"/>
      <c r="C50" s="4"/>
      <c r="D50" s="4"/>
      <c r="E50" s="4"/>
      <c r="F50" s="4"/>
      <c r="G50" s="4"/>
      <c r="H50" s="4"/>
      <c r="I50" s="4"/>
      <c r="J50" s="5"/>
      <c r="K50" s="4"/>
      <c r="L50" s="4"/>
      <c r="M50" s="65">
        <f>Table1[[#This Row],[Frequency]]*Table1[[#This Row],[Severity]]*Table1[[#This Row],[Likelihood]]</f>
        <v>0</v>
      </c>
      <c r="N50" s="6"/>
      <c r="O50" s="4"/>
      <c r="P50" s="4"/>
      <c r="Q50" s="185"/>
      <c r="R50" s="5"/>
      <c r="S50" s="4"/>
      <c r="T50" s="4"/>
      <c r="U50" s="65">
        <f>Table1[[#This Row],[Frequency After Control Measures]]*Table1[[#This Row],[Severity After Control Measures]]*Table1[[#This Row],[Likelihood After Control Measures]]</f>
        <v>0</v>
      </c>
      <c r="V50" s="86" t="str">
        <f t="shared" si="2"/>
        <v/>
      </c>
      <c r="W50" s="64"/>
      <c r="X50" s="64"/>
      <c r="Y50" s="66"/>
      <c r="Z50" s="66"/>
      <c r="AA50" s="4"/>
      <c r="AB50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50" s="65">
        <f>IF(Table1[[#This Row],[Action Closed]]="Yes",Table1[[#This Row],[Risk Score2]],Table1[[#This Row],[Risk Score]])</f>
        <v>0</v>
      </c>
      <c r="AD50" s="87">
        <f>IF(Table1[[#This Row],[Action Closed]]="Yes",Table1[[#This Row],[Severity After Control Measures]],Table1[[#This Row],[Severity]])</f>
        <v>0</v>
      </c>
      <c r="AE50" s="67"/>
      <c r="AF50" s="67"/>
      <c r="AG50" s="67"/>
      <c r="AH50" s="67"/>
      <c r="AI50" s="67"/>
    </row>
    <row r="51" spans="1:35" s="68" customFormat="1" ht="23.25" x14ac:dyDescent="0.25">
      <c r="A51" s="3"/>
      <c r="B51" s="194"/>
      <c r="C51" s="4"/>
      <c r="D51" s="4"/>
      <c r="E51" s="4"/>
      <c r="F51" s="4"/>
      <c r="G51" s="4"/>
      <c r="H51" s="4"/>
      <c r="I51" s="4"/>
      <c r="J51" s="5"/>
      <c r="K51" s="4"/>
      <c r="L51" s="4"/>
      <c r="M51" s="65">
        <f>Table1[[#This Row],[Frequency]]*Table1[[#This Row],[Severity]]*Table1[[#This Row],[Likelihood]]</f>
        <v>0</v>
      </c>
      <c r="N51" s="6"/>
      <c r="O51" s="4"/>
      <c r="P51" s="4"/>
      <c r="Q51" s="185"/>
      <c r="R51" s="5"/>
      <c r="S51" s="4"/>
      <c r="T51" s="4"/>
      <c r="U51" s="65">
        <f>Table1[[#This Row],[Frequency After Control Measures]]*Table1[[#This Row],[Severity After Control Measures]]*Table1[[#This Row],[Likelihood After Control Measures]]</f>
        <v>0</v>
      </c>
      <c r="V51" s="86" t="str">
        <f t="shared" si="2"/>
        <v/>
      </c>
      <c r="W51" s="64"/>
      <c r="X51" s="64"/>
      <c r="Y51" s="66"/>
      <c r="Z51" s="66"/>
      <c r="AA51" s="4"/>
      <c r="AB51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51" s="65">
        <f>IF(Table1[[#This Row],[Action Closed]]="Yes",Table1[[#This Row],[Risk Score2]],Table1[[#This Row],[Risk Score]])</f>
        <v>0</v>
      </c>
      <c r="AD51" s="87">
        <f>IF(Table1[[#This Row],[Action Closed]]="Yes",Table1[[#This Row],[Severity After Control Measures]],Table1[[#This Row],[Severity]])</f>
        <v>0</v>
      </c>
      <c r="AE51" s="67"/>
      <c r="AF51" s="67"/>
      <c r="AG51" s="67"/>
      <c r="AH51" s="67"/>
      <c r="AI51" s="67"/>
    </row>
    <row r="52" spans="1:35" s="68" customFormat="1" ht="23.25" x14ac:dyDescent="0.25">
      <c r="A52" s="3"/>
      <c r="B52" s="194"/>
      <c r="C52" s="4"/>
      <c r="D52" s="4"/>
      <c r="E52" s="4"/>
      <c r="F52" s="4"/>
      <c r="G52" s="4"/>
      <c r="H52" s="4"/>
      <c r="I52" s="4"/>
      <c r="J52" s="5"/>
      <c r="K52" s="4"/>
      <c r="L52" s="4"/>
      <c r="M52" s="65">
        <f>Table1[[#This Row],[Frequency]]*Table1[[#This Row],[Severity]]*Table1[[#This Row],[Likelihood]]</f>
        <v>0</v>
      </c>
      <c r="N52" s="6"/>
      <c r="O52" s="4"/>
      <c r="P52" s="4"/>
      <c r="Q52" s="185"/>
      <c r="R52" s="5"/>
      <c r="S52" s="4"/>
      <c r="T52" s="4"/>
      <c r="U52" s="65">
        <f>Table1[[#This Row],[Frequency After Control Measures]]*Table1[[#This Row],[Severity After Control Measures]]*Table1[[#This Row],[Likelihood After Control Measures]]</f>
        <v>0</v>
      </c>
      <c r="V52" s="86" t="str">
        <f t="shared" si="2"/>
        <v/>
      </c>
      <c r="W52" s="64"/>
      <c r="X52" s="64"/>
      <c r="Y52" s="66"/>
      <c r="Z52" s="66"/>
      <c r="AA52" s="4"/>
      <c r="AB52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52" s="65">
        <f>IF(Table1[[#This Row],[Action Closed]]="Yes",Table1[[#This Row],[Risk Score2]],Table1[[#This Row],[Risk Score]])</f>
        <v>0</v>
      </c>
      <c r="AD52" s="87">
        <f>IF(Table1[[#This Row],[Action Closed]]="Yes",Table1[[#This Row],[Severity After Control Measures]],Table1[[#This Row],[Severity]])</f>
        <v>0</v>
      </c>
      <c r="AE52" s="67"/>
      <c r="AF52" s="67"/>
      <c r="AG52" s="67"/>
      <c r="AH52" s="67"/>
      <c r="AI52" s="67"/>
    </row>
    <row r="53" spans="1:35" s="68" customFormat="1" ht="23.25" x14ac:dyDescent="0.25">
      <c r="A53" s="3"/>
      <c r="B53" s="194"/>
      <c r="C53" s="4"/>
      <c r="D53" s="4"/>
      <c r="E53" s="4"/>
      <c r="F53" s="4"/>
      <c r="G53" s="4"/>
      <c r="H53" s="4"/>
      <c r="I53" s="4"/>
      <c r="J53" s="5"/>
      <c r="K53" s="4"/>
      <c r="L53" s="4"/>
      <c r="M53" s="65">
        <f>Table1[[#This Row],[Frequency]]*Table1[[#This Row],[Severity]]*Table1[[#This Row],[Likelihood]]</f>
        <v>0</v>
      </c>
      <c r="N53" s="6"/>
      <c r="O53" s="4"/>
      <c r="P53" s="4"/>
      <c r="Q53" s="185"/>
      <c r="R53" s="5"/>
      <c r="S53" s="4"/>
      <c r="T53" s="4"/>
      <c r="U53" s="65">
        <f>Table1[[#This Row],[Frequency After Control Measures]]*Table1[[#This Row],[Severity After Control Measures]]*Table1[[#This Row],[Likelihood After Control Measures]]</f>
        <v>0</v>
      </c>
      <c r="V53" s="86" t="str">
        <f t="shared" si="2"/>
        <v/>
      </c>
      <c r="W53" s="64"/>
      <c r="X53" s="64"/>
      <c r="Y53" s="66"/>
      <c r="Z53" s="66"/>
      <c r="AA53" s="4"/>
      <c r="AB53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53" s="65">
        <f>IF(Table1[[#This Row],[Action Closed]]="Yes",Table1[[#This Row],[Risk Score2]],Table1[[#This Row],[Risk Score]])</f>
        <v>0</v>
      </c>
      <c r="AD53" s="87">
        <f>IF(Table1[[#This Row],[Action Closed]]="Yes",Table1[[#This Row],[Severity After Control Measures]],Table1[[#This Row],[Severity]])</f>
        <v>0</v>
      </c>
      <c r="AE53" s="67"/>
      <c r="AF53" s="67"/>
      <c r="AG53" s="67"/>
      <c r="AH53" s="67"/>
      <c r="AI53" s="67"/>
    </row>
    <row r="54" spans="1:35" s="68" customFormat="1" ht="23.25" x14ac:dyDescent="0.25">
      <c r="A54" s="3"/>
      <c r="B54" s="194"/>
      <c r="C54" s="4"/>
      <c r="D54" s="4"/>
      <c r="E54" s="4"/>
      <c r="F54" s="4"/>
      <c r="G54" s="4"/>
      <c r="H54" s="4"/>
      <c r="I54" s="4"/>
      <c r="J54" s="5"/>
      <c r="K54" s="4"/>
      <c r="L54" s="4"/>
      <c r="M54" s="65">
        <f>Table1[[#This Row],[Frequency]]*Table1[[#This Row],[Severity]]*Table1[[#This Row],[Likelihood]]</f>
        <v>0</v>
      </c>
      <c r="N54" s="6"/>
      <c r="O54" s="4"/>
      <c r="P54" s="4"/>
      <c r="Q54" s="185"/>
      <c r="R54" s="5"/>
      <c r="S54" s="4"/>
      <c r="T54" s="4"/>
      <c r="U54" s="65">
        <f>Table1[[#This Row],[Frequency After Control Measures]]*Table1[[#This Row],[Severity After Control Measures]]*Table1[[#This Row],[Likelihood After Control Measures]]</f>
        <v>0</v>
      </c>
      <c r="V54" s="86" t="str">
        <f t="shared" si="2"/>
        <v/>
      </c>
      <c r="W54" s="64"/>
      <c r="X54" s="64"/>
      <c r="Y54" s="66"/>
      <c r="Z54" s="66"/>
      <c r="AA54" s="4"/>
      <c r="AB54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54" s="65">
        <f>IF(Table1[[#This Row],[Action Closed]]="Yes",Table1[[#This Row],[Risk Score2]],Table1[[#This Row],[Risk Score]])</f>
        <v>0</v>
      </c>
      <c r="AD54" s="87">
        <f>IF(Table1[[#This Row],[Action Closed]]="Yes",Table1[[#This Row],[Severity After Control Measures]],Table1[[#This Row],[Severity]])</f>
        <v>0</v>
      </c>
      <c r="AE54" s="67"/>
      <c r="AF54" s="67"/>
      <c r="AG54" s="67"/>
      <c r="AH54" s="67"/>
      <c r="AI54" s="67"/>
    </row>
    <row r="55" spans="1:35" s="68" customFormat="1" ht="23.25" x14ac:dyDescent="0.25">
      <c r="A55" s="3"/>
      <c r="B55" s="194"/>
      <c r="C55" s="4"/>
      <c r="D55" s="4"/>
      <c r="E55" s="4"/>
      <c r="F55" s="4"/>
      <c r="G55" s="4"/>
      <c r="H55" s="4"/>
      <c r="I55" s="4"/>
      <c r="J55" s="5"/>
      <c r="K55" s="4"/>
      <c r="L55" s="4"/>
      <c r="M55" s="65">
        <f>Table1[[#This Row],[Frequency]]*Table1[[#This Row],[Severity]]*Table1[[#This Row],[Likelihood]]</f>
        <v>0</v>
      </c>
      <c r="N55" s="6"/>
      <c r="O55" s="4"/>
      <c r="P55" s="4"/>
      <c r="Q55" s="185"/>
      <c r="R55" s="5"/>
      <c r="S55" s="4"/>
      <c r="T55" s="4"/>
      <c r="U55" s="65">
        <f>Table1[[#This Row],[Frequency After Control Measures]]*Table1[[#This Row],[Severity After Control Measures]]*Table1[[#This Row],[Likelihood After Control Measures]]</f>
        <v>0</v>
      </c>
      <c r="V55" s="86" t="str">
        <f t="shared" si="2"/>
        <v/>
      </c>
      <c r="W55" s="64"/>
      <c r="X55" s="64"/>
      <c r="Y55" s="66"/>
      <c r="Z55" s="66"/>
      <c r="AA55" s="4"/>
      <c r="AB55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55" s="65">
        <f>IF(Table1[[#This Row],[Action Closed]]="Yes",Table1[[#This Row],[Risk Score2]],Table1[[#This Row],[Risk Score]])</f>
        <v>0</v>
      </c>
      <c r="AD55" s="87">
        <f>IF(Table1[[#This Row],[Action Closed]]="Yes",Table1[[#This Row],[Severity After Control Measures]],Table1[[#This Row],[Severity]])</f>
        <v>0</v>
      </c>
      <c r="AE55" s="67"/>
      <c r="AF55" s="67"/>
      <c r="AG55" s="67"/>
      <c r="AH55" s="67"/>
      <c r="AI55" s="67"/>
    </row>
    <row r="56" spans="1:35" s="68" customFormat="1" ht="23.25" x14ac:dyDescent="0.25">
      <c r="A56" s="3"/>
      <c r="B56" s="194"/>
      <c r="C56" s="4"/>
      <c r="D56" s="4"/>
      <c r="E56" s="4"/>
      <c r="F56" s="4"/>
      <c r="G56" s="4"/>
      <c r="H56" s="4"/>
      <c r="I56" s="4"/>
      <c r="J56" s="5"/>
      <c r="K56" s="4"/>
      <c r="L56" s="4"/>
      <c r="M56" s="65">
        <f>Table1[[#This Row],[Frequency]]*Table1[[#This Row],[Severity]]*Table1[[#This Row],[Likelihood]]</f>
        <v>0</v>
      </c>
      <c r="N56" s="6"/>
      <c r="O56" s="4"/>
      <c r="P56" s="4"/>
      <c r="Q56" s="185"/>
      <c r="R56" s="5"/>
      <c r="S56" s="4"/>
      <c r="T56" s="4"/>
      <c r="U56" s="65">
        <f>Table1[[#This Row],[Frequency After Control Measures]]*Table1[[#This Row],[Severity After Control Measures]]*Table1[[#This Row],[Likelihood After Control Measures]]</f>
        <v>0</v>
      </c>
      <c r="V56" s="86" t="str">
        <f t="shared" si="2"/>
        <v/>
      </c>
      <c r="W56" s="64"/>
      <c r="X56" s="64"/>
      <c r="Y56" s="66"/>
      <c r="Z56" s="66"/>
      <c r="AA56" s="4"/>
      <c r="AB56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56" s="65">
        <f>IF(Table1[[#This Row],[Action Closed]]="Yes",Table1[[#This Row],[Risk Score2]],Table1[[#This Row],[Risk Score]])</f>
        <v>0</v>
      </c>
      <c r="AD56" s="87">
        <f>IF(Table1[[#This Row],[Action Closed]]="Yes",Table1[[#This Row],[Severity After Control Measures]],Table1[[#This Row],[Severity]])</f>
        <v>0</v>
      </c>
      <c r="AE56" s="67"/>
      <c r="AF56" s="67"/>
      <c r="AG56" s="67"/>
      <c r="AH56" s="67"/>
      <c r="AI56" s="67"/>
    </row>
    <row r="57" spans="1:35" s="68" customFormat="1" ht="23.25" x14ac:dyDescent="0.25">
      <c r="A57" s="3"/>
      <c r="B57" s="194"/>
      <c r="C57" s="4"/>
      <c r="D57" s="4"/>
      <c r="E57" s="4"/>
      <c r="F57" s="4"/>
      <c r="G57" s="4"/>
      <c r="H57" s="4"/>
      <c r="I57" s="4"/>
      <c r="J57" s="5"/>
      <c r="K57" s="4"/>
      <c r="L57" s="4"/>
      <c r="M57" s="65">
        <f>Table1[[#This Row],[Frequency]]*Table1[[#This Row],[Severity]]*Table1[[#This Row],[Likelihood]]</f>
        <v>0</v>
      </c>
      <c r="N57" s="6"/>
      <c r="O57" s="4"/>
      <c r="P57" s="4"/>
      <c r="Q57" s="185"/>
      <c r="R57" s="5"/>
      <c r="S57" s="4"/>
      <c r="T57" s="4"/>
      <c r="U57" s="65">
        <f>Table1[[#This Row],[Frequency After Control Measures]]*Table1[[#This Row],[Severity After Control Measures]]*Table1[[#This Row],[Likelihood After Control Measures]]</f>
        <v>0</v>
      </c>
      <c r="V57" s="86" t="str">
        <f t="shared" si="2"/>
        <v/>
      </c>
      <c r="W57" s="64"/>
      <c r="X57" s="64"/>
      <c r="Y57" s="66"/>
      <c r="Z57" s="66"/>
      <c r="AA57" s="4"/>
      <c r="AB57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57" s="65">
        <f>IF(Table1[[#This Row],[Action Closed]]="Yes",Table1[[#This Row],[Risk Score2]],Table1[[#This Row],[Risk Score]])</f>
        <v>0</v>
      </c>
      <c r="AD57" s="87">
        <f>IF(Table1[[#This Row],[Action Closed]]="Yes",Table1[[#This Row],[Severity After Control Measures]],Table1[[#This Row],[Severity]])</f>
        <v>0</v>
      </c>
      <c r="AE57" s="67"/>
      <c r="AF57" s="67"/>
      <c r="AG57" s="67"/>
      <c r="AH57" s="67"/>
      <c r="AI57" s="67"/>
    </row>
    <row r="58" spans="1:35" s="68" customFormat="1" ht="23.25" x14ac:dyDescent="0.25">
      <c r="A58" s="3"/>
      <c r="B58" s="194"/>
      <c r="C58" s="4"/>
      <c r="D58" s="4"/>
      <c r="E58" s="4"/>
      <c r="F58" s="4"/>
      <c r="G58" s="4"/>
      <c r="H58" s="4"/>
      <c r="I58" s="4"/>
      <c r="J58" s="5"/>
      <c r="K58" s="4"/>
      <c r="L58" s="4"/>
      <c r="M58" s="65">
        <f>Table1[[#This Row],[Frequency]]*Table1[[#This Row],[Severity]]*Table1[[#This Row],[Likelihood]]</f>
        <v>0</v>
      </c>
      <c r="N58" s="6"/>
      <c r="O58" s="4"/>
      <c r="P58" s="4"/>
      <c r="Q58" s="185"/>
      <c r="R58" s="5"/>
      <c r="S58" s="4"/>
      <c r="T58" s="4"/>
      <c r="U58" s="65">
        <f>Table1[[#This Row],[Frequency After Control Measures]]*Table1[[#This Row],[Severity After Control Measures]]*Table1[[#This Row],[Likelihood After Control Measures]]</f>
        <v>0</v>
      </c>
      <c r="V58" s="86" t="str">
        <f t="shared" si="2"/>
        <v/>
      </c>
      <c r="W58" s="64"/>
      <c r="X58" s="64"/>
      <c r="Y58" s="66"/>
      <c r="Z58" s="66"/>
      <c r="AA58" s="4"/>
      <c r="AB58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58" s="65">
        <f>IF(Table1[[#This Row],[Action Closed]]="Yes",Table1[[#This Row],[Risk Score2]],Table1[[#This Row],[Risk Score]])</f>
        <v>0</v>
      </c>
      <c r="AD58" s="87">
        <f>IF(Table1[[#This Row],[Action Closed]]="Yes",Table1[[#This Row],[Severity After Control Measures]],Table1[[#This Row],[Severity]])</f>
        <v>0</v>
      </c>
      <c r="AE58" s="67"/>
      <c r="AF58" s="67"/>
      <c r="AG58" s="67"/>
      <c r="AH58" s="67"/>
      <c r="AI58" s="67"/>
    </row>
    <row r="59" spans="1:35" s="68" customFormat="1" ht="23.25" x14ac:dyDescent="0.25">
      <c r="A59" s="3"/>
      <c r="B59" s="194"/>
      <c r="C59" s="4"/>
      <c r="D59" s="4"/>
      <c r="E59" s="4"/>
      <c r="F59" s="4"/>
      <c r="G59" s="4"/>
      <c r="H59" s="4"/>
      <c r="I59" s="4"/>
      <c r="J59" s="5"/>
      <c r="K59" s="4"/>
      <c r="L59" s="4"/>
      <c r="M59" s="65">
        <f>Table1[[#This Row],[Frequency]]*Table1[[#This Row],[Severity]]*Table1[[#This Row],[Likelihood]]</f>
        <v>0</v>
      </c>
      <c r="N59" s="6"/>
      <c r="O59" s="4"/>
      <c r="P59" s="4"/>
      <c r="Q59" s="185"/>
      <c r="R59" s="5"/>
      <c r="S59" s="4"/>
      <c r="T59" s="4"/>
      <c r="U59" s="65">
        <f>Table1[[#This Row],[Frequency After Control Measures]]*Table1[[#This Row],[Severity After Control Measures]]*Table1[[#This Row],[Likelihood After Control Measures]]</f>
        <v>0</v>
      </c>
      <c r="V59" s="86" t="str">
        <f t="shared" si="2"/>
        <v/>
      </c>
      <c r="W59" s="64"/>
      <c r="X59" s="64"/>
      <c r="Y59" s="66"/>
      <c r="Z59" s="66"/>
      <c r="AA59" s="4"/>
      <c r="AB59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59" s="65">
        <f>IF(Table1[[#This Row],[Action Closed]]="Yes",Table1[[#This Row],[Risk Score2]],Table1[[#This Row],[Risk Score]])</f>
        <v>0</v>
      </c>
      <c r="AD59" s="87">
        <f>IF(Table1[[#This Row],[Action Closed]]="Yes",Table1[[#This Row],[Severity After Control Measures]],Table1[[#This Row],[Severity]])</f>
        <v>0</v>
      </c>
      <c r="AE59" s="67"/>
      <c r="AF59" s="67"/>
      <c r="AG59" s="67"/>
      <c r="AH59" s="67"/>
      <c r="AI59" s="67"/>
    </row>
    <row r="60" spans="1:35" s="68" customFormat="1" ht="23.25" x14ac:dyDescent="0.25">
      <c r="A60" s="3"/>
      <c r="B60" s="194"/>
      <c r="C60" s="4"/>
      <c r="D60" s="4"/>
      <c r="E60" s="4"/>
      <c r="F60" s="4"/>
      <c r="G60" s="4"/>
      <c r="H60" s="4"/>
      <c r="I60" s="4"/>
      <c r="J60" s="5"/>
      <c r="K60" s="4"/>
      <c r="L60" s="4"/>
      <c r="M60" s="65">
        <f>Table1[[#This Row],[Frequency]]*Table1[[#This Row],[Severity]]*Table1[[#This Row],[Likelihood]]</f>
        <v>0</v>
      </c>
      <c r="N60" s="6"/>
      <c r="O60" s="4"/>
      <c r="P60" s="4"/>
      <c r="Q60" s="185"/>
      <c r="R60" s="5"/>
      <c r="S60" s="4"/>
      <c r="T60" s="4"/>
      <c r="U60" s="65">
        <f>Table1[[#This Row],[Frequency After Control Measures]]*Table1[[#This Row],[Severity After Control Measures]]*Table1[[#This Row],[Likelihood After Control Measures]]</f>
        <v>0</v>
      </c>
      <c r="V60" s="86" t="str">
        <f t="shared" si="2"/>
        <v/>
      </c>
      <c r="W60" s="64"/>
      <c r="X60" s="64"/>
      <c r="Y60" s="66"/>
      <c r="Z60" s="66"/>
      <c r="AA60" s="4"/>
      <c r="AB60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60" s="65">
        <f>IF(Table1[[#This Row],[Action Closed]]="Yes",Table1[[#This Row],[Risk Score2]],Table1[[#This Row],[Risk Score]])</f>
        <v>0</v>
      </c>
      <c r="AD60" s="87">
        <f>IF(Table1[[#This Row],[Action Closed]]="Yes",Table1[[#This Row],[Severity After Control Measures]],Table1[[#This Row],[Severity]])</f>
        <v>0</v>
      </c>
      <c r="AE60" s="67"/>
      <c r="AF60" s="67"/>
      <c r="AG60" s="67"/>
      <c r="AH60" s="67"/>
      <c r="AI60" s="67"/>
    </row>
    <row r="61" spans="1:35" s="68" customFormat="1" ht="23.25" x14ac:dyDescent="0.25">
      <c r="A61" s="3"/>
      <c r="B61" s="194"/>
      <c r="C61" s="4"/>
      <c r="D61" s="4"/>
      <c r="E61" s="4"/>
      <c r="F61" s="4"/>
      <c r="G61" s="4"/>
      <c r="H61" s="4"/>
      <c r="I61" s="4"/>
      <c r="J61" s="5"/>
      <c r="K61" s="4"/>
      <c r="L61" s="4"/>
      <c r="M61" s="65">
        <f>Table1[[#This Row],[Frequency]]*Table1[[#This Row],[Severity]]*Table1[[#This Row],[Likelihood]]</f>
        <v>0</v>
      </c>
      <c r="N61" s="6"/>
      <c r="O61" s="4"/>
      <c r="P61" s="4"/>
      <c r="Q61" s="185"/>
      <c r="R61" s="5"/>
      <c r="S61" s="4"/>
      <c r="T61" s="4"/>
      <c r="U61" s="65">
        <f>Table1[[#This Row],[Frequency After Control Measures]]*Table1[[#This Row],[Severity After Control Measures]]*Table1[[#This Row],[Likelihood After Control Measures]]</f>
        <v>0</v>
      </c>
      <c r="V61" s="86" t="str">
        <f t="shared" si="2"/>
        <v/>
      </c>
      <c r="W61" s="64"/>
      <c r="X61" s="64"/>
      <c r="Y61" s="66"/>
      <c r="Z61" s="66"/>
      <c r="AA61" s="4"/>
      <c r="AB61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61" s="65">
        <f>IF(Table1[[#This Row],[Action Closed]]="Yes",Table1[[#This Row],[Risk Score2]],Table1[[#This Row],[Risk Score]])</f>
        <v>0</v>
      </c>
      <c r="AD61" s="87">
        <f>IF(Table1[[#This Row],[Action Closed]]="Yes",Table1[[#This Row],[Severity After Control Measures]],Table1[[#This Row],[Severity]])</f>
        <v>0</v>
      </c>
      <c r="AE61" s="67"/>
      <c r="AF61" s="67"/>
      <c r="AG61" s="67"/>
      <c r="AH61" s="67"/>
      <c r="AI61" s="67"/>
    </row>
    <row r="62" spans="1:35" s="68" customFormat="1" ht="23.25" x14ac:dyDescent="0.25">
      <c r="A62" s="3"/>
      <c r="B62" s="194"/>
      <c r="C62" s="4"/>
      <c r="D62" s="4"/>
      <c r="E62" s="4"/>
      <c r="F62" s="4"/>
      <c r="G62" s="4"/>
      <c r="H62" s="4"/>
      <c r="I62" s="4"/>
      <c r="J62" s="5"/>
      <c r="K62" s="4"/>
      <c r="L62" s="4"/>
      <c r="M62" s="65">
        <f>Table1[[#This Row],[Frequency]]*Table1[[#This Row],[Severity]]*Table1[[#This Row],[Likelihood]]</f>
        <v>0</v>
      </c>
      <c r="N62" s="6"/>
      <c r="O62" s="4"/>
      <c r="P62" s="4"/>
      <c r="Q62" s="185"/>
      <c r="R62" s="5"/>
      <c r="S62" s="4"/>
      <c r="T62" s="4"/>
      <c r="U62" s="65">
        <f>Table1[[#This Row],[Frequency After Control Measures]]*Table1[[#This Row],[Severity After Control Measures]]*Table1[[#This Row],[Likelihood After Control Measures]]</f>
        <v>0</v>
      </c>
      <c r="V62" s="86" t="str">
        <f t="shared" si="2"/>
        <v/>
      </c>
      <c r="W62" s="64"/>
      <c r="X62" s="64"/>
      <c r="Y62" s="66"/>
      <c r="Z62" s="66"/>
      <c r="AA62" s="4"/>
      <c r="AB62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62" s="65">
        <f>IF(Table1[[#This Row],[Action Closed]]="Yes",Table1[[#This Row],[Risk Score2]],Table1[[#This Row],[Risk Score]])</f>
        <v>0</v>
      </c>
      <c r="AD62" s="87">
        <f>IF(Table1[[#This Row],[Action Closed]]="Yes",Table1[[#This Row],[Severity After Control Measures]],Table1[[#This Row],[Severity]])</f>
        <v>0</v>
      </c>
      <c r="AE62" s="67"/>
      <c r="AF62" s="67"/>
      <c r="AG62" s="67"/>
      <c r="AH62" s="67"/>
      <c r="AI62" s="67"/>
    </row>
    <row r="63" spans="1:35" s="68" customFormat="1" ht="23.25" x14ac:dyDescent="0.25">
      <c r="A63" s="3"/>
      <c r="B63" s="194"/>
      <c r="C63" s="4"/>
      <c r="D63" s="4"/>
      <c r="E63" s="4"/>
      <c r="F63" s="4"/>
      <c r="G63" s="4"/>
      <c r="H63" s="4"/>
      <c r="I63" s="4"/>
      <c r="J63" s="5"/>
      <c r="K63" s="4"/>
      <c r="L63" s="4"/>
      <c r="M63" s="65">
        <f>Table1[[#This Row],[Frequency]]*Table1[[#This Row],[Severity]]*Table1[[#This Row],[Likelihood]]</f>
        <v>0</v>
      </c>
      <c r="N63" s="6"/>
      <c r="O63" s="4"/>
      <c r="P63" s="4"/>
      <c r="Q63" s="185"/>
      <c r="R63" s="5"/>
      <c r="S63" s="4"/>
      <c r="T63" s="4"/>
      <c r="U63" s="65">
        <f>Table1[[#This Row],[Frequency After Control Measures]]*Table1[[#This Row],[Severity After Control Measures]]*Table1[[#This Row],[Likelihood After Control Measures]]</f>
        <v>0</v>
      </c>
      <c r="V63" s="86" t="str">
        <f t="shared" si="2"/>
        <v/>
      </c>
      <c r="W63" s="64"/>
      <c r="X63" s="64"/>
      <c r="Y63" s="66"/>
      <c r="Z63" s="66"/>
      <c r="AA63" s="4"/>
      <c r="AB63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63" s="65">
        <f>IF(Table1[[#This Row],[Action Closed]]="Yes",Table1[[#This Row],[Risk Score2]],Table1[[#This Row],[Risk Score]])</f>
        <v>0</v>
      </c>
      <c r="AD63" s="87">
        <f>IF(Table1[[#This Row],[Action Closed]]="Yes",Table1[[#This Row],[Severity After Control Measures]],Table1[[#This Row],[Severity]])</f>
        <v>0</v>
      </c>
      <c r="AE63" s="67"/>
      <c r="AF63" s="67"/>
      <c r="AG63" s="67"/>
      <c r="AH63" s="67"/>
      <c r="AI63" s="67"/>
    </row>
    <row r="64" spans="1:35" s="68" customFormat="1" ht="23.25" x14ac:dyDescent="0.25">
      <c r="A64" s="3"/>
      <c r="B64" s="194"/>
      <c r="C64" s="4"/>
      <c r="D64" s="4"/>
      <c r="E64" s="4"/>
      <c r="F64" s="4"/>
      <c r="G64" s="4"/>
      <c r="H64" s="4"/>
      <c r="I64" s="4"/>
      <c r="J64" s="5"/>
      <c r="K64" s="4"/>
      <c r="L64" s="4"/>
      <c r="M64" s="65">
        <f>Table1[[#This Row],[Frequency]]*Table1[[#This Row],[Severity]]*Table1[[#This Row],[Likelihood]]</f>
        <v>0</v>
      </c>
      <c r="N64" s="6"/>
      <c r="O64" s="4"/>
      <c r="P64" s="4"/>
      <c r="Q64" s="185"/>
      <c r="R64" s="5"/>
      <c r="S64" s="4"/>
      <c r="T64" s="4"/>
      <c r="U64" s="65">
        <f>Table1[[#This Row],[Frequency After Control Measures]]*Table1[[#This Row],[Severity After Control Measures]]*Table1[[#This Row],[Likelihood After Control Measures]]</f>
        <v>0</v>
      </c>
      <c r="V64" s="86" t="str">
        <f t="shared" si="2"/>
        <v/>
      </c>
      <c r="W64" s="64"/>
      <c r="X64" s="64"/>
      <c r="Y64" s="66"/>
      <c r="Z64" s="66"/>
      <c r="AA64" s="4"/>
      <c r="AB64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64" s="65">
        <f>IF(Table1[[#This Row],[Action Closed]]="Yes",Table1[[#This Row],[Risk Score2]],Table1[[#This Row],[Risk Score]])</f>
        <v>0</v>
      </c>
      <c r="AD64" s="87">
        <f>IF(Table1[[#This Row],[Action Closed]]="Yes",Table1[[#This Row],[Severity After Control Measures]],Table1[[#This Row],[Severity]])</f>
        <v>0</v>
      </c>
      <c r="AE64" s="67"/>
      <c r="AF64" s="67"/>
      <c r="AG64" s="67"/>
      <c r="AH64" s="67"/>
      <c r="AI64" s="67"/>
    </row>
    <row r="65" spans="1:35" s="68" customFormat="1" ht="23.25" x14ac:dyDescent="0.25">
      <c r="A65" s="3"/>
      <c r="B65" s="194"/>
      <c r="C65" s="4"/>
      <c r="D65" s="4"/>
      <c r="E65" s="4"/>
      <c r="F65" s="4"/>
      <c r="G65" s="4"/>
      <c r="H65" s="4"/>
      <c r="I65" s="4"/>
      <c r="J65" s="5"/>
      <c r="K65" s="4"/>
      <c r="L65" s="4"/>
      <c r="M65" s="65">
        <f>Table1[[#This Row],[Frequency]]*Table1[[#This Row],[Severity]]*Table1[[#This Row],[Likelihood]]</f>
        <v>0</v>
      </c>
      <c r="N65" s="6"/>
      <c r="O65" s="4"/>
      <c r="P65" s="4"/>
      <c r="Q65" s="185"/>
      <c r="R65" s="5"/>
      <c r="S65" s="4"/>
      <c r="T65" s="4"/>
      <c r="U65" s="65">
        <f>Table1[[#This Row],[Frequency After Control Measures]]*Table1[[#This Row],[Severity After Control Measures]]*Table1[[#This Row],[Likelihood After Control Measures]]</f>
        <v>0</v>
      </c>
      <c r="V65" s="86" t="str">
        <f t="shared" si="2"/>
        <v/>
      </c>
      <c r="W65" s="64"/>
      <c r="X65" s="64"/>
      <c r="Y65" s="66"/>
      <c r="Z65" s="66"/>
      <c r="AA65" s="4"/>
      <c r="AB65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65" s="65">
        <f>IF(Table1[[#This Row],[Action Closed]]="Yes",Table1[[#This Row],[Risk Score2]],Table1[[#This Row],[Risk Score]])</f>
        <v>0</v>
      </c>
      <c r="AD65" s="87">
        <f>IF(Table1[[#This Row],[Action Closed]]="Yes",Table1[[#This Row],[Severity After Control Measures]],Table1[[#This Row],[Severity]])</f>
        <v>0</v>
      </c>
      <c r="AE65" s="67"/>
      <c r="AF65" s="67"/>
      <c r="AG65" s="67"/>
      <c r="AH65" s="67"/>
      <c r="AI65" s="67"/>
    </row>
    <row r="66" spans="1:35" s="68" customFormat="1" ht="23.25" x14ac:dyDescent="0.25">
      <c r="A66" s="3"/>
      <c r="B66" s="194"/>
      <c r="C66" s="4"/>
      <c r="D66" s="4"/>
      <c r="E66" s="4"/>
      <c r="F66" s="4"/>
      <c r="G66" s="4"/>
      <c r="H66" s="4"/>
      <c r="I66" s="4"/>
      <c r="J66" s="5"/>
      <c r="K66" s="4"/>
      <c r="L66" s="4"/>
      <c r="M66" s="65">
        <f>Table1[[#This Row],[Frequency]]*Table1[[#This Row],[Severity]]*Table1[[#This Row],[Likelihood]]</f>
        <v>0</v>
      </c>
      <c r="N66" s="6"/>
      <c r="O66" s="4"/>
      <c r="P66" s="4"/>
      <c r="Q66" s="185"/>
      <c r="R66" s="5"/>
      <c r="S66" s="4"/>
      <c r="T66" s="4"/>
      <c r="U66" s="65">
        <f>Table1[[#This Row],[Frequency After Control Measures]]*Table1[[#This Row],[Severity After Control Measures]]*Table1[[#This Row],[Likelihood After Control Measures]]</f>
        <v>0</v>
      </c>
      <c r="V66" s="86" t="str">
        <f t="shared" si="2"/>
        <v/>
      </c>
      <c r="W66" s="64"/>
      <c r="X66" s="64"/>
      <c r="Y66" s="66"/>
      <c r="Z66" s="66"/>
      <c r="AA66" s="4"/>
      <c r="AB66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66" s="65">
        <f>IF(Table1[[#This Row],[Action Closed]]="Yes",Table1[[#This Row],[Risk Score2]],Table1[[#This Row],[Risk Score]])</f>
        <v>0</v>
      </c>
      <c r="AD66" s="87">
        <f>IF(Table1[[#This Row],[Action Closed]]="Yes",Table1[[#This Row],[Severity After Control Measures]],Table1[[#This Row],[Severity]])</f>
        <v>0</v>
      </c>
      <c r="AE66" s="67"/>
      <c r="AF66" s="67"/>
      <c r="AG66" s="67"/>
      <c r="AH66" s="67"/>
      <c r="AI66" s="67"/>
    </row>
    <row r="67" spans="1:35" s="68" customFormat="1" ht="23.25" x14ac:dyDescent="0.25">
      <c r="A67" s="3"/>
      <c r="B67" s="194"/>
      <c r="C67" s="4"/>
      <c r="D67" s="4"/>
      <c r="E67" s="4"/>
      <c r="F67" s="4"/>
      <c r="G67" s="4"/>
      <c r="H67" s="4"/>
      <c r="I67" s="4"/>
      <c r="J67" s="5"/>
      <c r="K67" s="4"/>
      <c r="L67" s="4"/>
      <c r="M67" s="65">
        <f>Table1[[#This Row],[Frequency]]*Table1[[#This Row],[Severity]]*Table1[[#This Row],[Likelihood]]</f>
        <v>0</v>
      </c>
      <c r="N67" s="6"/>
      <c r="O67" s="4"/>
      <c r="P67" s="4"/>
      <c r="Q67" s="185"/>
      <c r="R67" s="5"/>
      <c r="S67" s="4"/>
      <c r="T67" s="4"/>
      <c r="U67" s="65">
        <f>Table1[[#This Row],[Frequency After Control Measures]]*Table1[[#This Row],[Severity After Control Measures]]*Table1[[#This Row],[Likelihood After Control Measures]]</f>
        <v>0</v>
      </c>
      <c r="V67" s="86" t="str">
        <f t="shared" si="2"/>
        <v/>
      </c>
      <c r="W67" s="64"/>
      <c r="X67" s="64"/>
      <c r="Y67" s="66"/>
      <c r="Z67" s="66"/>
      <c r="AA67" s="4"/>
      <c r="AB67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67" s="65">
        <f>IF(Table1[[#This Row],[Action Closed]]="Yes",Table1[[#This Row],[Risk Score2]],Table1[[#This Row],[Risk Score]])</f>
        <v>0</v>
      </c>
      <c r="AD67" s="87">
        <f>IF(Table1[[#This Row],[Action Closed]]="Yes",Table1[[#This Row],[Severity After Control Measures]],Table1[[#This Row],[Severity]])</f>
        <v>0</v>
      </c>
      <c r="AE67" s="67"/>
      <c r="AF67" s="67"/>
      <c r="AG67" s="67"/>
      <c r="AH67" s="67"/>
      <c r="AI67" s="67"/>
    </row>
    <row r="68" spans="1:35" s="68" customFormat="1" ht="23.25" x14ac:dyDescent="0.25">
      <c r="A68" s="3"/>
      <c r="B68" s="194"/>
      <c r="C68" s="4"/>
      <c r="D68" s="4"/>
      <c r="E68" s="4"/>
      <c r="F68" s="4"/>
      <c r="G68" s="4"/>
      <c r="H68" s="4"/>
      <c r="I68" s="4"/>
      <c r="J68" s="5"/>
      <c r="K68" s="4"/>
      <c r="L68" s="4"/>
      <c r="M68" s="65">
        <f>Table1[[#This Row],[Frequency]]*Table1[[#This Row],[Severity]]*Table1[[#This Row],[Likelihood]]</f>
        <v>0</v>
      </c>
      <c r="N68" s="6"/>
      <c r="O68" s="4"/>
      <c r="P68" s="4"/>
      <c r="Q68" s="185"/>
      <c r="R68" s="5"/>
      <c r="S68" s="4"/>
      <c r="T68" s="4"/>
      <c r="U68" s="65">
        <f>Table1[[#This Row],[Frequency After Control Measures]]*Table1[[#This Row],[Severity After Control Measures]]*Table1[[#This Row],[Likelihood After Control Measures]]</f>
        <v>0</v>
      </c>
      <c r="V68" s="86" t="str">
        <f t="shared" si="2"/>
        <v/>
      </c>
      <c r="W68" s="64"/>
      <c r="X68" s="64"/>
      <c r="Y68" s="66"/>
      <c r="Z68" s="66"/>
      <c r="AA68" s="4"/>
      <c r="AB68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68" s="65">
        <f>IF(Table1[[#This Row],[Action Closed]]="Yes",Table1[[#This Row],[Risk Score2]],Table1[[#This Row],[Risk Score]])</f>
        <v>0</v>
      </c>
      <c r="AD68" s="87">
        <f>IF(Table1[[#This Row],[Action Closed]]="Yes",Table1[[#This Row],[Severity After Control Measures]],Table1[[#This Row],[Severity]])</f>
        <v>0</v>
      </c>
      <c r="AE68" s="67"/>
      <c r="AF68" s="67"/>
      <c r="AG68" s="67"/>
      <c r="AH68" s="67"/>
      <c r="AI68" s="67"/>
    </row>
    <row r="69" spans="1:35" s="68" customFormat="1" ht="23.25" x14ac:dyDescent="0.25">
      <c r="A69" s="3"/>
      <c r="B69" s="194"/>
      <c r="C69" s="4"/>
      <c r="D69" s="4"/>
      <c r="E69" s="4"/>
      <c r="F69" s="4"/>
      <c r="G69" s="4"/>
      <c r="H69" s="4"/>
      <c r="I69" s="4"/>
      <c r="J69" s="5"/>
      <c r="K69" s="4"/>
      <c r="L69" s="4"/>
      <c r="M69" s="65">
        <f>Table1[[#This Row],[Frequency]]*Table1[[#This Row],[Severity]]*Table1[[#This Row],[Likelihood]]</f>
        <v>0</v>
      </c>
      <c r="N69" s="6"/>
      <c r="O69" s="4"/>
      <c r="P69" s="4"/>
      <c r="Q69" s="185"/>
      <c r="R69" s="5"/>
      <c r="S69" s="4"/>
      <c r="T69" s="4"/>
      <c r="U69" s="65">
        <f>Table1[[#This Row],[Frequency After Control Measures]]*Table1[[#This Row],[Severity After Control Measures]]*Table1[[#This Row],[Likelihood After Control Measures]]</f>
        <v>0</v>
      </c>
      <c r="V69" s="86" t="str">
        <f t="shared" si="2"/>
        <v/>
      </c>
      <c r="W69" s="64"/>
      <c r="X69" s="64"/>
      <c r="Y69" s="66"/>
      <c r="Z69" s="66"/>
      <c r="AA69" s="4"/>
      <c r="AB69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69" s="65">
        <f>IF(Table1[[#This Row],[Action Closed]]="Yes",Table1[[#This Row],[Risk Score2]],Table1[[#This Row],[Risk Score]])</f>
        <v>0</v>
      </c>
      <c r="AD69" s="87">
        <f>IF(Table1[[#This Row],[Action Closed]]="Yes",Table1[[#This Row],[Severity After Control Measures]],Table1[[#This Row],[Severity]])</f>
        <v>0</v>
      </c>
      <c r="AE69" s="67"/>
      <c r="AF69" s="67"/>
      <c r="AG69" s="67"/>
      <c r="AH69" s="67"/>
      <c r="AI69" s="67"/>
    </row>
    <row r="70" spans="1:35" s="68" customFormat="1" ht="23.25" x14ac:dyDescent="0.25">
      <c r="A70" s="3"/>
      <c r="B70" s="194"/>
      <c r="C70" s="4"/>
      <c r="D70" s="4"/>
      <c r="E70" s="4"/>
      <c r="F70" s="4"/>
      <c r="G70" s="4"/>
      <c r="H70" s="4"/>
      <c r="I70" s="4"/>
      <c r="J70" s="5"/>
      <c r="K70" s="4"/>
      <c r="L70" s="4"/>
      <c r="M70" s="65">
        <f>Table1[[#This Row],[Frequency]]*Table1[[#This Row],[Severity]]*Table1[[#This Row],[Likelihood]]</f>
        <v>0</v>
      </c>
      <c r="N70" s="6"/>
      <c r="O70" s="4"/>
      <c r="P70" s="4"/>
      <c r="Q70" s="185"/>
      <c r="R70" s="5"/>
      <c r="S70" s="4"/>
      <c r="T70" s="4"/>
      <c r="U70" s="65">
        <f>Table1[[#This Row],[Frequency After Control Measures]]*Table1[[#This Row],[Severity After Control Measures]]*Table1[[#This Row],[Likelihood After Control Measures]]</f>
        <v>0</v>
      </c>
      <c r="V70" s="86" t="str">
        <f t="shared" si="2"/>
        <v/>
      </c>
      <c r="W70" s="64"/>
      <c r="X70" s="64"/>
      <c r="Y70" s="66"/>
      <c r="Z70" s="66"/>
      <c r="AA70" s="4"/>
      <c r="AB70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70" s="65">
        <f>IF(Table1[[#This Row],[Action Closed]]="Yes",Table1[[#This Row],[Risk Score2]],Table1[[#This Row],[Risk Score]])</f>
        <v>0</v>
      </c>
      <c r="AD70" s="87">
        <f>IF(Table1[[#This Row],[Action Closed]]="Yes",Table1[[#This Row],[Severity After Control Measures]],Table1[[#This Row],[Severity]])</f>
        <v>0</v>
      </c>
      <c r="AE70" s="67"/>
      <c r="AF70" s="67"/>
      <c r="AG70" s="67"/>
      <c r="AH70" s="67"/>
      <c r="AI70" s="67"/>
    </row>
    <row r="71" spans="1:35" s="68" customFormat="1" ht="23.25" x14ac:dyDescent="0.25">
      <c r="A71" s="3"/>
      <c r="B71" s="194"/>
      <c r="C71" s="4"/>
      <c r="D71" s="4"/>
      <c r="E71" s="4"/>
      <c r="F71" s="4"/>
      <c r="G71" s="4"/>
      <c r="H71" s="4"/>
      <c r="I71" s="4"/>
      <c r="J71" s="5"/>
      <c r="K71" s="4"/>
      <c r="L71" s="4"/>
      <c r="M71" s="65">
        <f>Table1[[#This Row],[Frequency]]*Table1[[#This Row],[Severity]]*Table1[[#This Row],[Likelihood]]</f>
        <v>0</v>
      </c>
      <c r="N71" s="6"/>
      <c r="O71" s="4"/>
      <c r="P71" s="4"/>
      <c r="Q71" s="185"/>
      <c r="R71" s="5"/>
      <c r="S71" s="4"/>
      <c r="T71" s="4"/>
      <c r="U71" s="65">
        <f>Table1[[#This Row],[Frequency After Control Measures]]*Table1[[#This Row],[Severity After Control Measures]]*Table1[[#This Row],[Likelihood After Control Measures]]</f>
        <v>0</v>
      </c>
      <c r="V71" s="86" t="str">
        <f t="shared" si="2"/>
        <v/>
      </c>
      <c r="W71" s="64"/>
      <c r="X71" s="64"/>
      <c r="Y71" s="66"/>
      <c r="Z71" s="66"/>
      <c r="AA71" s="4"/>
      <c r="AB71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71" s="65">
        <f>IF(Table1[[#This Row],[Action Closed]]="Yes",Table1[[#This Row],[Risk Score2]],Table1[[#This Row],[Risk Score]])</f>
        <v>0</v>
      </c>
      <c r="AD71" s="87">
        <f>IF(Table1[[#This Row],[Action Closed]]="Yes",Table1[[#This Row],[Severity After Control Measures]],Table1[[#This Row],[Severity]])</f>
        <v>0</v>
      </c>
      <c r="AE71" s="67"/>
      <c r="AF71" s="67"/>
      <c r="AG71" s="67"/>
      <c r="AH71" s="67"/>
      <c r="AI71" s="67"/>
    </row>
    <row r="72" spans="1:35" s="68" customFormat="1" ht="23.25" x14ac:dyDescent="0.25">
      <c r="A72" s="3"/>
      <c r="B72" s="194"/>
      <c r="C72" s="4"/>
      <c r="D72" s="4"/>
      <c r="E72" s="4"/>
      <c r="F72" s="4"/>
      <c r="G72" s="4"/>
      <c r="H72" s="4"/>
      <c r="I72" s="4"/>
      <c r="J72" s="5"/>
      <c r="K72" s="4"/>
      <c r="L72" s="4"/>
      <c r="M72" s="65">
        <f>Table1[[#This Row],[Frequency]]*Table1[[#This Row],[Severity]]*Table1[[#This Row],[Likelihood]]</f>
        <v>0</v>
      </c>
      <c r="N72" s="6"/>
      <c r="O72" s="4"/>
      <c r="P72" s="4"/>
      <c r="Q72" s="185"/>
      <c r="R72" s="5"/>
      <c r="S72" s="4"/>
      <c r="T72" s="4"/>
      <c r="U72" s="65">
        <f>Table1[[#This Row],[Frequency After Control Measures]]*Table1[[#This Row],[Severity After Control Measures]]*Table1[[#This Row],[Likelihood After Control Measures]]</f>
        <v>0</v>
      </c>
      <c r="V72" s="86" t="str">
        <f t="shared" si="2"/>
        <v/>
      </c>
      <c r="W72" s="64"/>
      <c r="X72" s="64"/>
      <c r="Y72" s="66"/>
      <c r="Z72" s="66"/>
      <c r="AA72" s="4"/>
      <c r="AB72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72" s="65">
        <f>IF(Table1[[#This Row],[Action Closed]]="Yes",Table1[[#This Row],[Risk Score2]],Table1[[#This Row],[Risk Score]])</f>
        <v>0</v>
      </c>
      <c r="AD72" s="87">
        <f>IF(Table1[[#This Row],[Action Closed]]="Yes",Table1[[#This Row],[Severity After Control Measures]],Table1[[#This Row],[Severity]])</f>
        <v>0</v>
      </c>
      <c r="AE72" s="67"/>
      <c r="AF72" s="67"/>
      <c r="AG72" s="67"/>
      <c r="AH72" s="67"/>
      <c r="AI72" s="67"/>
    </row>
    <row r="73" spans="1:35" s="68" customFormat="1" ht="23.25" x14ac:dyDescent="0.25">
      <c r="A73" s="3"/>
      <c r="B73" s="194"/>
      <c r="C73" s="4"/>
      <c r="D73" s="4"/>
      <c r="E73" s="4"/>
      <c r="F73" s="4"/>
      <c r="G73" s="4"/>
      <c r="H73" s="4"/>
      <c r="I73" s="4"/>
      <c r="J73" s="5"/>
      <c r="K73" s="4"/>
      <c r="L73" s="4"/>
      <c r="M73" s="65">
        <f>Table1[[#This Row],[Frequency]]*Table1[[#This Row],[Severity]]*Table1[[#This Row],[Likelihood]]</f>
        <v>0</v>
      </c>
      <c r="N73" s="6"/>
      <c r="O73" s="4"/>
      <c r="P73" s="4"/>
      <c r="Q73" s="185"/>
      <c r="R73" s="5"/>
      <c r="S73" s="4"/>
      <c r="T73" s="4"/>
      <c r="U73" s="65">
        <f>Table1[[#This Row],[Frequency After Control Measures]]*Table1[[#This Row],[Severity After Control Measures]]*Table1[[#This Row],[Likelihood After Control Measures]]</f>
        <v>0</v>
      </c>
      <c r="V73" s="86" t="str">
        <f t="shared" si="2"/>
        <v/>
      </c>
      <c r="W73" s="64"/>
      <c r="X73" s="64"/>
      <c r="Y73" s="66"/>
      <c r="Z73" s="66"/>
      <c r="AA73" s="4"/>
      <c r="AB73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73" s="65">
        <f>IF(Table1[[#This Row],[Action Closed]]="Yes",Table1[[#This Row],[Risk Score2]],Table1[[#This Row],[Risk Score]])</f>
        <v>0</v>
      </c>
      <c r="AD73" s="87">
        <f>IF(Table1[[#This Row],[Action Closed]]="Yes",Table1[[#This Row],[Severity After Control Measures]],Table1[[#This Row],[Severity]])</f>
        <v>0</v>
      </c>
      <c r="AE73" s="67"/>
      <c r="AF73" s="67"/>
      <c r="AG73" s="67"/>
      <c r="AH73" s="67"/>
      <c r="AI73" s="67"/>
    </row>
    <row r="74" spans="1:35" s="68" customFormat="1" ht="23.25" x14ac:dyDescent="0.25">
      <c r="A74" s="3"/>
      <c r="B74" s="194"/>
      <c r="C74" s="4"/>
      <c r="D74" s="4"/>
      <c r="E74" s="4"/>
      <c r="F74" s="4"/>
      <c r="G74" s="4"/>
      <c r="H74" s="4"/>
      <c r="I74" s="4"/>
      <c r="J74" s="5"/>
      <c r="K74" s="4"/>
      <c r="L74" s="4"/>
      <c r="M74" s="65">
        <f>Table1[[#This Row],[Frequency]]*Table1[[#This Row],[Severity]]*Table1[[#This Row],[Likelihood]]</f>
        <v>0</v>
      </c>
      <c r="N74" s="6"/>
      <c r="O74" s="4"/>
      <c r="P74" s="4"/>
      <c r="Q74" s="185"/>
      <c r="R74" s="5"/>
      <c r="S74" s="4"/>
      <c r="T74" s="4"/>
      <c r="U74" s="65">
        <f>Table1[[#This Row],[Frequency After Control Measures]]*Table1[[#This Row],[Severity After Control Measures]]*Table1[[#This Row],[Likelihood After Control Measures]]</f>
        <v>0</v>
      </c>
      <c r="V74" s="86" t="str">
        <f t="shared" si="2"/>
        <v/>
      </c>
      <c r="W74" s="64"/>
      <c r="X74" s="64"/>
      <c r="Y74" s="66"/>
      <c r="Z74" s="66"/>
      <c r="AA74" s="4"/>
      <c r="AB74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74" s="65">
        <f>IF(Table1[[#This Row],[Action Closed]]="Yes",Table1[[#This Row],[Risk Score2]],Table1[[#This Row],[Risk Score]])</f>
        <v>0</v>
      </c>
      <c r="AD74" s="87">
        <f>IF(Table1[[#This Row],[Action Closed]]="Yes",Table1[[#This Row],[Severity After Control Measures]],Table1[[#This Row],[Severity]])</f>
        <v>0</v>
      </c>
      <c r="AE74" s="67"/>
      <c r="AF74" s="67"/>
      <c r="AG74" s="67"/>
      <c r="AH74" s="67"/>
      <c r="AI74" s="67"/>
    </row>
    <row r="75" spans="1:35" s="68" customFormat="1" ht="23.25" x14ac:dyDescent="0.25">
      <c r="A75" s="3"/>
      <c r="B75" s="194"/>
      <c r="C75" s="4"/>
      <c r="D75" s="4"/>
      <c r="E75" s="4"/>
      <c r="F75" s="4"/>
      <c r="G75" s="4"/>
      <c r="H75" s="4"/>
      <c r="I75" s="4"/>
      <c r="J75" s="5"/>
      <c r="K75" s="4"/>
      <c r="L75" s="4"/>
      <c r="M75" s="65">
        <f>Table1[[#This Row],[Frequency]]*Table1[[#This Row],[Severity]]*Table1[[#This Row],[Likelihood]]</f>
        <v>0</v>
      </c>
      <c r="N75" s="6"/>
      <c r="O75" s="4"/>
      <c r="P75" s="4"/>
      <c r="Q75" s="185"/>
      <c r="R75" s="5"/>
      <c r="S75" s="4"/>
      <c r="T75" s="4"/>
      <c r="U75" s="65">
        <f>Table1[[#This Row],[Frequency After Control Measures]]*Table1[[#This Row],[Severity After Control Measures]]*Table1[[#This Row],[Likelihood After Control Measures]]</f>
        <v>0</v>
      </c>
      <c r="V75" s="86" t="str">
        <f t="shared" si="2"/>
        <v/>
      </c>
      <c r="W75" s="64"/>
      <c r="X75" s="64"/>
      <c r="Y75" s="66"/>
      <c r="Z75" s="66"/>
      <c r="AA75" s="4"/>
      <c r="AB75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75" s="65">
        <f>IF(Table1[[#This Row],[Action Closed]]="Yes",Table1[[#This Row],[Risk Score2]],Table1[[#This Row],[Risk Score]])</f>
        <v>0</v>
      </c>
      <c r="AD75" s="87">
        <f>IF(Table1[[#This Row],[Action Closed]]="Yes",Table1[[#This Row],[Severity After Control Measures]],Table1[[#This Row],[Severity]])</f>
        <v>0</v>
      </c>
      <c r="AE75" s="67"/>
      <c r="AF75" s="67"/>
      <c r="AG75" s="67"/>
      <c r="AH75" s="67"/>
      <c r="AI75" s="67"/>
    </row>
    <row r="76" spans="1:35" s="68" customFormat="1" ht="23.25" x14ac:dyDescent="0.25">
      <c r="A76" s="3"/>
      <c r="B76" s="194"/>
      <c r="C76" s="4"/>
      <c r="D76" s="4"/>
      <c r="E76" s="4"/>
      <c r="F76" s="4"/>
      <c r="G76" s="4"/>
      <c r="H76" s="4"/>
      <c r="I76" s="4"/>
      <c r="J76" s="5"/>
      <c r="K76" s="4"/>
      <c r="L76" s="4"/>
      <c r="M76" s="65">
        <f>Table1[[#This Row],[Frequency]]*Table1[[#This Row],[Severity]]*Table1[[#This Row],[Likelihood]]</f>
        <v>0</v>
      </c>
      <c r="N76" s="6"/>
      <c r="O76" s="4"/>
      <c r="P76" s="4"/>
      <c r="Q76" s="185"/>
      <c r="R76" s="5"/>
      <c r="S76" s="4"/>
      <c r="T76" s="4"/>
      <c r="U76" s="65">
        <f>Table1[[#This Row],[Frequency After Control Measures]]*Table1[[#This Row],[Severity After Control Measures]]*Table1[[#This Row],[Likelihood After Control Measures]]</f>
        <v>0</v>
      </c>
      <c r="V76" s="86" t="str">
        <f t="shared" si="2"/>
        <v/>
      </c>
      <c r="W76" s="64"/>
      <c r="X76" s="64"/>
      <c r="Y76" s="66"/>
      <c r="Z76" s="66"/>
      <c r="AA76" s="4"/>
      <c r="AB76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76" s="65">
        <f>IF(Table1[[#This Row],[Action Closed]]="Yes",Table1[[#This Row],[Risk Score2]],Table1[[#This Row],[Risk Score]])</f>
        <v>0</v>
      </c>
      <c r="AD76" s="87">
        <f>IF(Table1[[#This Row],[Action Closed]]="Yes",Table1[[#This Row],[Severity After Control Measures]],Table1[[#This Row],[Severity]])</f>
        <v>0</v>
      </c>
      <c r="AE76" s="67"/>
      <c r="AF76" s="67"/>
      <c r="AG76" s="67"/>
      <c r="AH76" s="67"/>
      <c r="AI76" s="67"/>
    </row>
    <row r="77" spans="1:35" s="68" customFormat="1" ht="23.25" x14ac:dyDescent="0.25">
      <c r="A77" s="3"/>
      <c r="B77" s="194"/>
      <c r="C77" s="4"/>
      <c r="D77" s="4"/>
      <c r="E77" s="4"/>
      <c r="F77" s="4"/>
      <c r="G77" s="4"/>
      <c r="H77" s="4"/>
      <c r="I77" s="4"/>
      <c r="J77" s="5"/>
      <c r="K77" s="4"/>
      <c r="L77" s="4"/>
      <c r="M77" s="65">
        <f>Table1[[#This Row],[Frequency]]*Table1[[#This Row],[Severity]]*Table1[[#This Row],[Likelihood]]</f>
        <v>0</v>
      </c>
      <c r="N77" s="6"/>
      <c r="O77" s="4"/>
      <c r="P77" s="4"/>
      <c r="Q77" s="185"/>
      <c r="R77" s="5"/>
      <c r="S77" s="4"/>
      <c r="T77" s="4"/>
      <c r="U77" s="65">
        <f>Table1[[#This Row],[Frequency After Control Measures]]*Table1[[#This Row],[Severity After Control Measures]]*Table1[[#This Row],[Likelihood After Control Measures]]</f>
        <v>0</v>
      </c>
      <c r="V77" s="86" t="str">
        <f t="shared" si="2"/>
        <v/>
      </c>
      <c r="W77" s="64"/>
      <c r="X77" s="64"/>
      <c r="Y77" s="66"/>
      <c r="Z77" s="66"/>
      <c r="AA77" s="4"/>
      <c r="AB77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77" s="65">
        <f>IF(Table1[[#This Row],[Action Closed]]="Yes",Table1[[#This Row],[Risk Score2]],Table1[[#This Row],[Risk Score]])</f>
        <v>0</v>
      </c>
      <c r="AD77" s="87">
        <f>IF(Table1[[#This Row],[Action Closed]]="Yes",Table1[[#This Row],[Severity After Control Measures]],Table1[[#This Row],[Severity]])</f>
        <v>0</v>
      </c>
      <c r="AE77" s="67"/>
      <c r="AF77" s="67"/>
      <c r="AG77" s="67"/>
      <c r="AH77" s="67"/>
      <c r="AI77" s="67"/>
    </row>
    <row r="78" spans="1:35" s="68" customFormat="1" ht="23.25" x14ac:dyDescent="0.25">
      <c r="A78" s="3"/>
      <c r="B78" s="194"/>
      <c r="C78" s="4"/>
      <c r="D78" s="4"/>
      <c r="E78" s="4"/>
      <c r="F78" s="4"/>
      <c r="G78" s="4"/>
      <c r="H78" s="4"/>
      <c r="I78" s="4"/>
      <c r="J78" s="5"/>
      <c r="K78" s="4"/>
      <c r="L78" s="4"/>
      <c r="M78" s="65">
        <f>Table1[[#This Row],[Frequency]]*Table1[[#This Row],[Severity]]*Table1[[#This Row],[Likelihood]]</f>
        <v>0</v>
      </c>
      <c r="N78" s="6"/>
      <c r="O78" s="4"/>
      <c r="P78" s="4"/>
      <c r="Q78" s="185"/>
      <c r="R78" s="5"/>
      <c r="S78" s="4"/>
      <c r="T78" s="4"/>
      <c r="U78" s="65">
        <f>Table1[[#This Row],[Frequency After Control Measures]]*Table1[[#This Row],[Severity After Control Measures]]*Table1[[#This Row],[Likelihood After Control Measures]]</f>
        <v>0</v>
      </c>
      <c r="V78" s="86" t="str">
        <f t="shared" si="2"/>
        <v/>
      </c>
      <c r="W78" s="64"/>
      <c r="X78" s="64"/>
      <c r="Y78" s="66"/>
      <c r="Z78" s="66"/>
      <c r="AA78" s="4"/>
      <c r="AB78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78" s="65">
        <f>IF(Table1[[#This Row],[Action Closed]]="Yes",Table1[[#This Row],[Risk Score2]],Table1[[#This Row],[Risk Score]])</f>
        <v>0</v>
      </c>
      <c r="AD78" s="87">
        <f>IF(Table1[[#This Row],[Action Closed]]="Yes",Table1[[#This Row],[Severity After Control Measures]],Table1[[#This Row],[Severity]])</f>
        <v>0</v>
      </c>
      <c r="AE78" s="67"/>
      <c r="AF78" s="67"/>
      <c r="AG78" s="67"/>
      <c r="AH78" s="67"/>
      <c r="AI78" s="67"/>
    </row>
    <row r="79" spans="1:35" s="68" customFormat="1" ht="23.25" x14ac:dyDescent="0.25">
      <c r="A79" s="3"/>
      <c r="B79" s="194"/>
      <c r="C79" s="4"/>
      <c r="D79" s="4"/>
      <c r="E79" s="4"/>
      <c r="F79" s="4"/>
      <c r="G79" s="4"/>
      <c r="H79" s="4"/>
      <c r="I79" s="4"/>
      <c r="J79" s="5"/>
      <c r="K79" s="4"/>
      <c r="L79" s="4"/>
      <c r="M79" s="65">
        <f>Table1[[#This Row],[Frequency]]*Table1[[#This Row],[Severity]]*Table1[[#This Row],[Likelihood]]</f>
        <v>0</v>
      </c>
      <c r="N79" s="6"/>
      <c r="O79" s="4"/>
      <c r="P79" s="4"/>
      <c r="Q79" s="185"/>
      <c r="R79" s="5"/>
      <c r="S79" s="4"/>
      <c r="T79" s="4"/>
      <c r="U79" s="65">
        <f>Table1[[#This Row],[Frequency After Control Measures]]*Table1[[#This Row],[Severity After Control Measures]]*Table1[[#This Row],[Likelihood After Control Measures]]</f>
        <v>0</v>
      </c>
      <c r="V79" s="86" t="str">
        <f t="shared" si="2"/>
        <v/>
      </c>
      <c r="W79" s="64"/>
      <c r="X79" s="64"/>
      <c r="Y79" s="66"/>
      <c r="Z79" s="66"/>
      <c r="AA79" s="4"/>
      <c r="AB79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79" s="65">
        <f>IF(Table1[[#This Row],[Action Closed]]="Yes",Table1[[#This Row],[Risk Score2]],Table1[[#This Row],[Risk Score]])</f>
        <v>0</v>
      </c>
      <c r="AD79" s="87">
        <f>IF(Table1[[#This Row],[Action Closed]]="Yes",Table1[[#This Row],[Severity After Control Measures]],Table1[[#This Row],[Severity]])</f>
        <v>0</v>
      </c>
      <c r="AE79" s="67"/>
      <c r="AF79" s="67"/>
      <c r="AG79" s="67"/>
      <c r="AH79" s="67"/>
      <c r="AI79" s="67"/>
    </row>
    <row r="80" spans="1:35" s="68" customFormat="1" ht="23.25" x14ac:dyDescent="0.25">
      <c r="A80" s="3"/>
      <c r="B80" s="194"/>
      <c r="C80" s="4"/>
      <c r="D80" s="4"/>
      <c r="E80" s="4"/>
      <c r="F80" s="4"/>
      <c r="G80" s="4"/>
      <c r="H80" s="4"/>
      <c r="I80" s="4"/>
      <c r="J80" s="5"/>
      <c r="K80" s="4"/>
      <c r="L80" s="4"/>
      <c r="M80" s="65">
        <f>Table1[[#This Row],[Frequency]]*Table1[[#This Row],[Severity]]*Table1[[#This Row],[Likelihood]]</f>
        <v>0</v>
      </c>
      <c r="N80" s="6"/>
      <c r="O80" s="4"/>
      <c r="P80" s="4"/>
      <c r="Q80" s="185"/>
      <c r="R80" s="5"/>
      <c r="S80" s="4"/>
      <c r="T80" s="4"/>
      <c r="U80" s="65">
        <f>Table1[[#This Row],[Frequency After Control Measures]]*Table1[[#This Row],[Severity After Control Measures]]*Table1[[#This Row],[Likelihood After Control Measures]]</f>
        <v>0</v>
      </c>
      <c r="V80" s="86" t="str">
        <f t="shared" si="2"/>
        <v/>
      </c>
      <c r="W80" s="64"/>
      <c r="X80" s="64"/>
      <c r="Y80" s="66"/>
      <c r="Z80" s="66"/>
      <c r="AA80" s="4"/>
      <c r="AB80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80" s="65">
        <f>IF(Table1[[#This Row],[Action Closed]]="Yes",Table1[[#This Row],[Risk Score2]],Table1[[#This Row],[Risk Score]])</f>
        <v>0</v>
      </c>
      <c r="AD80" s="87">
        <f>IF(Table1[[#This Row],[Action Closed]]="Yes",Table1[[#This Row],[Severity After Control Measures]],Table1[[#This Row],[Severity]])</f>
        <v>0</v>
      </c>
      <c r="AE80" s="67"/>
      <c r="AF80" s="67"/>
      <c r="AG80" s="67"/>
      <c r="AH80" s="67"/>
      <c r="AI80" s="67"/>
    </row>
    <row r="81" spans="1:35" s="68" customFormat="1" ht="23.25" x14ac:dyDescent="0.25">
      <c r="A81" s="3"/>
      <c r="B81" s="194"/>
      <c r="C81" s="4"/>
      <c r="D81" s="4"/>
      <c r="E81" s="4"/>
      <c r="F81" s="4"/>
      <c r="G81" s="4"/>
      <c r="H81" s="4"/>
      <c r="I81" s="4"/>
      <c r="J81" s="5"/>
      <c r="K81" s="4"/>
      <c r="L81" s="4"/>
      <c r="M81" s="65">
        <f>Table1[[#This Row],[Frequency]]*Table1[[#This Row],[Severity]]*Table1[[#This Row],[Likelihood]]</f>
        <v>0</v>
      </c>
      <c r="N81" s="6"/>
      <c r="O81" s="4"/>
      <c r="P81" s="4"/>
      <c r="Q81" s="185"/>
      <c r="R81" s="5"/>
      <c r="S81" s="4"/>
      <c r="T81" s="4"/>
      <c r="U81" s="65">
        <f>Table1[[#This Row],[Frequency After Control Measures]]*Table1[[#This Row],[Severity After Control Measures]]*Table1[[#This Row],[Likelihood After Control Measures]]</f>
        <v>0</v>
      </c>
      <c r="V81" s="86" t="str">
        <f t="shared" si="2"/>
        <v/>
      </c>
      <c r="W81" s="64"/>
      <c r="X81" s="64"/>
      <c r="Y81" s="66"/>
      <c r="Z81" s="66"/>
      <c r="AA81" s="4"/>
      <c r="AB81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81" s="65">
        <f>IF(Table1[[#This Row],[Action Closed]]="Yes",Table1[[#This Row],[Risk Score2]],Table1[[#This Row],[Risk Score]])</f>
        <v>0</v>
      </c>
      <c r="AD81" s="87">
        <f>IF(Table1[[#This Row],[Action Closed]]="Yes",Table1[[#This Row],[Severity After Control Measures]],Table1[[#This Row],[Severity]])</f>
        <v>0</v>
      </c>
      <c r="AE81" s="67"/>
      <c r="AF81" s="67"/>
      <c r="AG81" s="67"/>
      <c r="AH81" s="67"/>
      <c r="AI81" s="67"/>
    </row>
    <row r="82" spans="1:35" s="68" customFormat="1" ht="23.25" x14ac:dyDescent="0.25">
      <c r="A82" s="3"/>
      <c r="B82" s="194"/>
      <c r="C82" s="4"/>
      <c r="D82" s="4"/>
      <c r="E82" s="4"/>
      <c r="F82" s="4"/>
      <c r="G82" s="4"/>
      <c r="H82" s="4"/>
      <c r="I82" s="4"/>
      <c r="J82" s="5"/>
      <c r="K82" s="4"/>
      <c r="L82" s="4"/>
      <c r="M82" s="65">
        <f>Table1[[#This Row],[Frequency]]*Table1[[#This Row],[Severity]]*Table1[[#This Row],[Likelihood]]</f>
        <v>0</v>
      </c>
      <c r="N82" s="6"/>
      <c r="O82" s="4"/>
      <c r="P82" s="4"/>
      <c r="Q82" s="185"/>
      <c r="R82" s="5"/>
      <c r="S82" s="4"/>
      <c r="T82" s="4"/>
      <c r="U82" s="65">
        <f>Table1[[#This Row],[Frequency After Control Measures]]*Table1[[#This Row],[Severity After Control Measures]]*Table1[[#This Row],[Likelihood After Control Measures]]</f>
        <v>0</v>
      </c>
      <c r="V82" s="86" t="str">
        <f t="shared" si="2"/>
        <v/>
      </c>
      <c r="W82" s="64"/>
      <c r="X82" s="64"/>
      <c r="Y82" s="66"/>
      <c r="Z82" s="66"/>
      <c r="AA82" s="4"/>
      <c r="AB82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82" s="65">
        <f>IF(Table1[[#This Row],[Action Closed]]="Yes",Table1[[#This Row],[Risk Score2]],Table1[[#This Row],[Risk Score]])</f>
        <v>0</v>
      </c>
      <c r="AD82" s="87">
        <f>IF(Table1[[#This Row],[Action Closed]]="Yes",Table1[[#This Row],[Severity After Control Measures]],Table1[[#This Row],[Severity]])</f>
        <v>0</v>
      </c>
      <c r="AE82" s="67"/>
      <c r="AF82" s="67"/>
      <c r="AG82" s="67"/>
      <c r="AH82" s="67"/>
      <c r="AI82" s="67"/>
    </row>
    <row r="83" spans="1:35" s="68" customFormat="1" ht="23.25" x14ac:dyDescent="0.25">
      <c r="A83" s="3"/>
      <c r="B83" s="194"/>
      <c r="C83" s="4"/>
      <c r="D83" s="4"/>
      <c r="E83" s="4"/>
      <c r="F83" s="4"/>
      <c r="G83" s="4"/>
      <c r="H83" s="4"/>
      <c r="I83" s="4"/>
      <c r="J83" s="5"/>
      <c r="K83" s="4"/>
      <c r="L83" s="4"/>
      <c r="M83" s="65">
        <f>Table1[[#This Row],[Frequency]]*Table1[[#This Row],[Severity]]*Table1[[#This Row],[Likelihood]]</f>
        <v>0</v>
      </c>
      <c r="N83" s="6"/>
      <c r="O83" s="4"/>
      <c r="P83" s="4"/>
      <c r="Q83" s="185"/>
      <c r="R83" s="5"/>
      <c r="S83" s="4"/>
      <c r="T83" s="4"/>
      <c r="U83" s="65">
        <f>Table1[[#This Row],[Frequency After Control Measures]]*Table1[[#This Row],[Severity After Control Measures]]*Table1[[#This Row],[Likelihood After Control Measures]]</f>
        <v>0</v>
      </c>
      <c r="V83" s="86" t="str">
        <f t="shared" si="2"/>
        <v/>
      </c>
      <c r="W83" s="64"/>
      <c r="X83" s="64"/>
      <c r="Y83" s="66"/>
      <c r="Z83" s="66"/>
      <c r="AA83" s="4"/>
      <c r="AB83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83" s="65">
        <f>IF(Table1[[#This Row],[Action Closed]]="Yes",Table1[[#This Row],[Risk Score2]],Table1[[#This Row],[Risk Score]])</f>
        <v>0</v>
      </c>
      <c r="AD83" s="87">
        <f>IF(Table1[[#This Row],[Action Closed]]="Yes",Table1[[#This Row],[Severity After Control Measures]],Table1[[#This Row],[Severity]])</f>
        <v>0</v>
      </c>
      <c r="AE83" s="67"/>
      <c r="AF83" s="67"/>
      <c r="AG83" s="67"/>
      <c r="AH83" s="67"/>
      <c r="AI83" s="67"/>
    </row>
    <row r="84" spans="1:35" s="68" customFormat="1" ht="23.25" x14ac:dyDescent="0.25">
      <c r="A84" s="3"/>
      <c r="B84" s="194"/>
      <c r="C84" s="4"/>
      <c r="D84" s="4"/>
      <c r="E84" s="4"/>
      <c r="F84" s="4"/>
      <c r="G84" s="4"/>
      <c r="H84" s="4"/>
      <c r="I84" s="4"/>
      <c r="J84" s="5"/>
      <c r="K84" s="4"/>
      <c r="L84" s="4"/>
      <c r="M84" s="65">
        <f>Table1[[#This Row],[Frequency]]*Table1[[#This Row],[Severity]]*Table1[[#This Row],[Likelihood]]</f>
        <v>0</v>
      </c>
      <c r="N84" s="6"/>
      <c r="O84" s="4"/>
      <c r="P84" s="4"/>
      <c r="Q84" s="185"/>
      <c r="R84" s="5"/>
      <c r="S84" s="4"/>
      <c r="T84" s="4"/>
      <c r="U84" s="65">
        <f>Table1[[#This Row],[Frequency After Control Measures]]*Table1[[#This Row],[Severity After Control Measures]]*Table1[[#This Row],[Likelihood After Control Measures]]</f>
        <v>0</v>
      </c>
      <c r="V84" s="86" t="str">
        <f t="shared" si="2"/>
        <v/>
      </c>
      <c r="W84" s="64"/>
      <c r="X84" s="64"/>
      <c r="Y84" s="66"/>
      <c r="Z84" s="66"/>
      <c r="AA84" s="4"/>
      <c r="AB84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84" s="65">
        <f>IF(Table1[[#This Row],[Action Closed]]="Yes",Table1[[#This Row],[Risk Score2]],Table1[[#This Row],[Risk Score]])</f>
        <v>0</v>
      </c>
      <c r="AD84" s="87">
        <f>IF(Table1[[#This Row],[Action Closed]]="Yes",Table1[[#This Row],[Severity After Control Measures]],Table1[[#This Row],[Severity]])</f>
        <v>0</v>
      </c>
      <c r="AE84" s="67"/>
      <c r="AF84" s="67"/>
      <c r="AG84" s="67"/>
      <c r="AH84" s="67"/>
      <c r="AI84" s="67"/>
    </row>
    <row r="85" spans="1:35" s="68" customFormat="1" ht="23.25" x14ac:dyDescent="0.25">
      <c r="A85" s="3"/>
      <c r="B85" s="194"/>
      <c r="C85" s="4"/>
      <c r="D85" s="4"/>
      <c r="E85" s="4"/>
      <c r="F85" s="4"/>
      <c r="G85" s="4"/>
      <c r="H85" s="4"/>
      <c r="I85" s="4"/>
      <c r="J85" s="5"/>
      <c r="K85" s="4"/>
      <c r="L85" s="4"/>
      <c r="M85" s="65">
        <f>Table1[[#This Row],[Frequency]]*Table1[[#This Row],[Severity]]*Table1[[#This Row],[Likelihood]]</f>
        <v>0</v>
      </c>
      <c r="N85" s="6"/>
      <c r="O85" s="4"/>
      <c r="P85" s="4"/>
      <c r="Q85" s="185"/>
      <c r="R85" s="5"/>
      <c r="S85" s="4"/>
      <c r="T85" s="4"/>
      <c r="U85" s="65">
        <f>Table1[[#This Row],[Frequency After Control Measures]]*Table1[[#This Row],[Severity After Control Measures]]*Table1[[#This Row],[Likelihood After Control Measures]]</f>
        <v>0</v>
      </c>
      <c r="V85" s="86" t="str">
        <f t="shared" si="2"/>
        <v/>
      </c>
      <c r="W85" s="64"/>
      <c r="X85" s="64"/>
      <c r="Y85" s="66"/>
      <c r="Z85" s="66"/>
      <c r="AA85" s="4"/>
      <c r="AB85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85" s="65">
        <f>IF(Table1[[#This Row],[Action Closed]]="Yes",Table1[[#This Row],[Risk Score2]],Table1[[#This Row],[Risk Score]])</f>
        <v>0</v>
      </c>
      <c r="AD85" s="87">
        <f>IF(Table1[[#This Row],[Action Closed]]="Yes",Table1[[#This Row],[Severity After Control Measures]],Table1[[#This Row],[Severity]])</f>
        <v>0</v>
      </c>
      <c r="AE85" s="67"/>
      <c r="AF85" s="67"/>
      <c r="AG85" s="67"/>
      <c r="AH85" s="67"/>
      <c r="AI85" s="67"/>
    </row>
    <row r="86" spans="1:35" s="68" customFormat="1" ht="23.25" x14ac:dyDescent="0.25">
      <c r="A86" s="3"/>
      <c r="B86" s="194"/>
      <c r="C86" s="4"/>
      <c r="D86" s="4"/>
      <c r="E86" s="4"/>
      <c r="F86" s="4"/>
      <c r="G86" s="4"/>
      <c r="H86" s="4"/>
      <c r="I86" s="4"/>
      <c r="J86" s="5"/>
      <c r="K86" s="4"/>
      <c r="L86" s="4"/>
      <c r="M86" s="65">
        <f>Table1[[#This Row],[Frequency]]*Table1[[#This Row],[Severity]]*Table1[[#This Row],[Likelihood]]</f>
        <v>0</v>
      </c>
      <c r="N86" s="6"/>
      <c r="O86" s="4"/>
      <c r="P86" s="4"/>
      <c r="Q86" s="185"/>
      <c r="R86" s="5"/>
      <c r="S86" s="4"/>
      <c r="T86" s="4"/>
      <c r="U86" s="65">
        <f>Table1[[#This Row],[Frequency After Control Measures]]*Table1[[#This Row],[Severity After Control Measures]]*Table1[[#This Row],[Likelihood After Control Measures]]</f>
        <v>0</v>
      </c>
      <c r="V86" s="86" t="str">
        <f t="shared" si="2"/>
        <v/>
      </c>
      <c r="W86" s="64"/>
      <c r="X86" s="64"/>
      <c r="Y86" s="66"/>
      <c r="Z86" s="66"/>
      <c r="AA86" s="4"/>
      <c r="AB86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86" s="65">
        <f>IF(Table1[[#This Row],[Action Closed]]="Yes",Table1[[#This Row],[Risk Score2]],Table1[[#This Row],[Risk Score]])</f>
        <v>0</v>
      </c>
      <c r="AD86" s="87">
        <f>IF(Table1[[#This Row],[Action Closed]]="Yes",Table1[[#This Row],[Severity After Control Measures]],Table1[[#This Row],[Severity]])</f>
        <v>0</v>
      </c>
      <c r="AE86" s="67"/>
      <c r="AF86" s="67"/>
      <c r="AG86" s="67"/>
      <c r="AH86" s="67"/>
      <c r="AI86" s="67"/>
    </row>
    <row r="87" spans="1:35" s="68" customFormat="1" ht="23.25" x14ac:dyDescent="0.25">
      <c r="A87" s="3"/>
      <c r="B87" s="194"/>
      <c r="C87" s="4"/>
      <c r="D87" s="4"/>
      <c r="E87" s="4"/>
      <c r="F87" s="4"/>
      <c r="G87" s="4"/>
      <c r="H87" s="4"/>
      <c r="I87" s="4"/>
      <c r="J87" s="5"/>
      <c r="K87" s="4"/>
      <c r="L87" s="4"/>
      <c r="M87" s="65">
        <f>Table1[[#This Row],[Frequency]]*Table1[[#This Row],[Severity]]*Table1[[#This Row],[Likelihood]]</f>
        <v>0</v>
      </c>
      <c r="N87" s="6"/>
      <c r="O87" s="4"/>
      <c r="P87" s="4"/>
      <c r="Q87" s="185"/>
      <c r="R87" s="5"/>
      <c r="S87" s="4"/>
      <c r="T87" s="4"/>
      <c r="U87" s="65">
        <f>Table1[[#This Row],[Frequency After Control Measures]]*Table1[[#This Row],[Severity After Control Measures]]*Table1[[#This Row],[Likelihood After Control Measures]]</f>
        <v>0</v>
      </c>
      <c r="V87" s="86" t="str">
        <f t="shared" si="2"/>
        <v/>
      </c>
      <c r="W87" s="64"/>
      <c r="X87" s="64"/>
      <c r="Y87" s="66"/>
      <c r="Z87" s="66"/>
      <c r="AA87" s="4"/>
      <c r="AB87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87" s="65">
        <f>IF(Table1[[#This Row],[Action Closed]]="Yes",Table1[[#This Row],[Risk Score2]],Table1[[#This Row],[Risk Score]])</f>
        <v>0</v>
      </c>
      <c r="AD87" s="87">
        <f>IF(Table1[[#This Row],[Action Closed]]="Yes",Table1[[#This Row],[Severity After Control Measures]],Table1[[#This Row],[Severity]])</f>
        <v>0</v>
      </c>
      <c r="AE87" s="67"/>
      <c r="AF87" s="67"/>
      <c r="AG87" s="67"/>
      <c r="AH87" s="67"/>
      <c r="AI87" s="67"/>
    </row>
    <row r="88" spans="1:35" s="68" customFormat="1" ht="23.25" x14ac:dyDescent="0.25">
      <c r="A88" s="3"/>
      <c r="B88" s="194"/>
      <c r="C88" s="4"/>
      <c r="D88" s="4"/>
      <c r="E88" s="4"/>
      <c r="F88" s="4"/>
      <c r="G88" s="4"/>
      <c r="H88" s="4"/>
      <c r="I88" s="4"/>
      <c r="J88" s="5"/>
      <c r="K88" s="4"/>
      <c r="L88" s="4"/>
      <c r="M88" s="65">
        <f>Table1[[#This Row],[Frequency]]*Table1[[#This Row],[Severity]]*Table1[[#This Row],[Likelihood]]</f>
        <v>0</v>
      </c>
      <c r="N88" s="6"/>
      <c r="O88" s="4"/>
      <c r="P88" s="4"/>
      <c r="Q88" s="185"/>
      <c r="R88" s="5"/>
      <c r="S88" s="4"/>
      <c r="T88" s="4"/>
      <c r="U88" s="65">
        <f>Table1[[#This Row],[Frequency After Control Measures]]*Table1[[#This Row],[Severity After Control Measures]]*Table1[[#This Row],[Likelihood After Control Measures]]</f>
        <v>0</v>
      </c>
      <c r="V88" s="86" t="str">
        <f t="shared" si="2"/>
        <v/>
      </c>
      <c r="W88" s="64"/>
      <c r="X88" s="64"/>
      <c r="Y88" s="66"/>
      <c r="Z88" s="66"/>
      <c r="AA88" s="4"/>
      <c r="AB88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88" s="65">
        <f>IF(Table1[[#This Row],[Action Closed]]="Yes",Table1[[#This Row],[Risk Score2]],Table1[[#This Row],[Risk Score]])</f>
        <v>0</v>
      </c>
      <c r="AD88" s="87">
        <f>IF(Table1[[#This Row],[Action Closed]]="Yes",Table1[[#This Row],[Severity After Control Measures]],Table1[[#This Row],[Severity]])</f>
        <v>0</v>
      </c>
      <c r="AE88" s="67"/>
      <c r="AF88" s="67"/>
      <c r="AG88" s="67"/>
      <c r="AH88" s="67"/>
      <c r="AI88" s="67"/>
    </row>
    <row r="89" spans="1:35" s="68" customFormat="1" ht="23.25" x14ac:dyDescent="0.25">
      <c r="A89" s="3"/>
      <c r="B89" s="194"/>
      <c r="C89" s="4"/>
      <c r="D89" s="4"/>
      <c r="E89" s="4"/>
      <c r="F89" s="4"/>
      <c r="G89" s="4"/>
      <c r="H89" s="4"/>
      <c r="I89" s="4"/>
      <c r="J89" s="5"/>
      <c r="K89" s="4"/>
      <c r="L89" s="4"/>
      <c r="M89" s="65">
        <f>Table1[[#This Row],[Frequency]]*Table1[[#This Row],[Severity]]*Table1[[#This Row],[Likelihood]]</f>
        <v>0</v>
      </c>
      <c r="N89" s="6"/>
      <c r="O89" s="4"/>
      <c r="P89" s="4"/>
      <c r="Q89" s="185"/>
      <c r="R89" s="5"/>
      <c r="S89" s="4"/>
      <c r="T89" s="4"/>
      <c r="U89" s="65">
        <f>Table1[[#This Row],[Frequency After Control Measures]]*Table1[[#This Row],[Severity After Control Measures]]*Table1[[#This Row],[Likelihood After Control Measures]]</f>
        <v>0</v>
      </c>
      <c r="V89" s="86" t="str">
        <f t="shared" si="1"/>
        <v/>
      </c>
      <c r="W89" s="64"/>
      <c r="X89" s="64"/>
      <c r="Y89" s="66"/>
      <c r="Z89" s="66"/>
      <c r="AA89" s="4"/>
      <c r="AB89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89" s="65">
        <f>IF(Table1[[#This Row],[Action Closed]]="Yes",Table1[[#This Row],[Risk Score2]],Table1[[#This Row],[Risk Score]])</f>
        <v>0</v>
      </c>
      <c r="AD89" s="87">
        <f>IF(Table1[[#This Row],[Action Closed]]="Yes",Table1[[#This Row],[Severity After Control Measures]],Table1[[#This Row],[Severity]])</f>
        <v>0</v>
      </c>
      <c r="AE89" s="67"/>
      <c r="AF89" s="67"/>
      <c r="AG89" s="67"/>
      <c r="AH89" s="67"/>
      <c r="AI89" s="67"/>
    </row>
    <row r="90" spans="1:35" s="68" customFormat="1" ht="23.25" x14ac:dyDescent="0.25">
      <c r="A90" s="3"/>
      <c r="B90" s="194"/>
      <c r="C90" s="4"/>
      <c r="D90" s="4"/>
      <c r="E90" s="4"/>
      <c r="F90" s="4"/>
      <c r="G90" s="4"/>
      <c r="H90" s="4"/>
      <c r="I90" s="4"/>
      <c r="J90" s="5"/>
      <c r="K90" s="4"/>
      <c r="L90" s="4"/>
      <c r="M90" s="65">
        <f>Table1[[#This Row],[Frequency]]*Table1[[#This Row],[Severity]]*Table1[[#This Row],[Likelihood]]</f>
        <v>0</v>
      </c>
      <c r="N90" s="6"/>
      <c r="O90" s="4"/>
      <c r="P90" s="4"/>
      <c r="Q90" s="185"/>
      <c r="R90" s="5"/>
      <c r="S90" s="4"/>
      <c r="T90" s="4"/>
      <c r="U90" s="65">
        <f>Table1[[#This Row],[Frequency After Control Measures]]*Table1[[#This Row],[Severity After Control Measures]]*Table1[[#This Row],[Likelihood After Control Measures]]</f>
        <v>0</v>
      </c>
      <c r="V90" s="86" t="str">
        <f t="shared" si="1"/>
        <v/>
      </c>
      <c r="W90" s="64"/>
      <c r="X90" s="64"/>
      <c r="Y90" s="66"/>
      <c r="Z90" s="66"/>
      <c r="AA90" s="4"/>
      <c r="AB90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90" s="65">
        <f>IF(Table1[[#This Row],[Action Closed]]="Yes",Table1[[#This Row],[Risk Score2]],Table1[[#This Row],[Risk Score]])</f>
        <v>0</v>
      </c>
      <c r="AD90" s="87">
        <f>IF(Table1[[#This Row],[Action Closed]]="Yes",Table1[[#This Row],[Severity After Control Measures]],Table1[[#This Row],[Severity]])</f>
        <v>0</v>
      </c>
      <c r="AE90" s="67"/>
      <c r="AF90" s="67"/>
      <c r="AG90" s="67"/>
      <c r="AH90" s="67"/>
      <c r="AI90" s="67"/>
    </row>
    <row r="91" spans="1:35" s="68" customFormat="1" ht="23.25" x14ac:dyDescent="0.25">
      <c r="A91" s="3"/>
      <c r="B91" s="194"/>
      <c r="C91" s="4"/>
      <c r="D91" s="4"/>
      <c r="E91" s="4"/>
      <c r="F91" s="4"/>
      <c r="G91" s="4"/>
      <c r="H91" s="4"/>
      <c r="I91" s="4"/>
      <c r="J91" s="5"/>
      <c r="K91" s="4"/>
      <c r="L91" s="4"/>
      <c r="M91" s="65">
        <f>Table1[[#This Row],[Frequency]]*Table1[[#This Row],[Severity]]*Table1[[#This Row],[Likelihood]]</f>
        <v>0</v>
      </c>
      <c r="N91" s="6"/>
      <c r="O91" s="4"/>
      <c r="P91" s="4"/>
      <c r="Q91" s="185"/>
      <c r="R91" s="5"/>
      <c r="S91" s="4"/>
      <c r="T91" s="4"/>
      <c r="U91" s="65">
        <f>Table1[[#This Row],[Frequency After Control Measures]]*Table1[[#This Row],[Severity After Control Measures]]*Table1[[#This Row],[Likelihood After Control Measures]]</f>
        <v>0</v>
      </c>
      <c r="V91" s="86" t="str">
        <f>IFERROR((M91-U91)/M91,"")</f>
        <v/>
      </c>
      <c r="W91" s="64"/>
      <c r="X91" s="64"/>
      <c r="Y91" s="66"/>
      <c r="Z91" s="66"/>
      <c r="AA91" s="4"/>
      <c r="AB91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91" s="65">
        <f>IF(Table1[[#This Row],[Action Closed]]="Yes",Table1[[#This Row],[Risk Score2]],Table1[[#This Row],[Risk Score]])</f>
        <v>0</v>
      </c>
      <c r="AD91" s="87">
        <f>IF(Table1[[#This Row],[Action Closed]]="Yes",Table1[[#This Row],[Severity After Control Measures]],Table1[[#This Row],[Severity]])</f>
        <v>0</v>
      </c>
      <c r="AE91" s="67"/>
      <c r="AF91" s="67"/>
      <c r="AG91" s="67"/>
      <c r="AH91" s="67"/>
      <c r="AI91" s="67"/>
    </row>
    <row r="92" spans="1:35" s="68" customFormat="1" ht="23.25" x14ac:dyDescent="0.25">
      <c r="A92" s="3"/>
      <c r="B92" s="194"/>
      <c r="C92" s="4"/>
      <c r="D92" s="4"/>
      <c r="E92" s="4"/>
      <c r="F92" s="4"/>
      <c r="G92" s="4"/>
      <c r="H92" s="4"/>
      <c r="I92" s="4"/>
      <c r="J92" s="5"/>
      <c r="K92" s="4"/>
      <c r="L92" s="4"/>
      <c r="M92" s="65">
        <f>Table1[[#This Row],[Frequency]]*Table1[[#This Row],[Severity]]*Table1[[#This Row],[Likelihood]]</f>
        <v>0</v>
      </c>
      <c r="N92" s="6"/>
      <c r="O92" s="4"/>
      <c r="P92" s="4"/>
      <c r="Q92" s="185"/>
      <c r="R92" s="5"/>
      <c r="S92" s="4"/>
      <c r="T92" s="4"/>
      <c r="U92" s="65">
        <f>Table1[[#This Row],[Frequency After Control Measures]]*Table1[[#This Row],[Severity After Control Measures]]*Table1[[#This Row],[Likelihood After Control Measures]]</f>
        <v>0</v>
      </c>
      <c r="V92" s="86" t="str">
        <f>IFERROR((M92-U92)/M92,"")</f>
        <v/>
      </c>
      <c r="W92" s="64"/>
      <c r="X92" s="64"/>
      <c r="Y92" s="66"/>
      <c r="Z92" s="66"/>
      <c r="AA92" s="4"/>
      <c r="AB92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92" s="65">
        <f>IF(Table1[[#This Row],[Action Closed]]="Yes",Table1[[#This Row],[Risk Score2]],Table1[[#This Row],[Risk Score]])</f>
        <v>0</v>
      </c>
      <c r="AD92" s="87">
        <f>IF(Table1[[#This Row],[Action Closed]]="Yes",Table1[[#This Row],[Severity After Control Measures]],Table1[[#This Row],[Severity]])</f>
        <v>0</v>
      </c>
      <c r="AE92" s="67"/>
      <c r="AF92" s="67"/>
      <c r="AG92" s="67"/>
      <c r="AH92" s="67"/>
      <c r="AI92" s="67"/>
    </row>
    <row r="93" spans="1:35" s="68" customFormat="1" ht="23.25" x14ac:dyDescent="0.25">
      <c r="A93" s="3"/>
      <c r="B93" s="194"/>
      <c r="C93" s="4"/>
      <c r="D93" s="4"/>
      <c r="E93" s="4"/>
      <c r="F93" s="4"/>
      <c r="G93" s="4"/>
      <c r="H93" s="4"/>
      <c r="I93" s="4"/>
      <c r="J93" s="5"/>
      <c r="K93" s="4"/>
      <c r="L93" s="4"/>
      <c r="M93" s="65">
        <f>Table1[[#This Row],[Frequency]]*Table1[[#This Row],[Severity]]*Table1[[#This Row],[Likelihood]]</f>
        <v>0</v>
      </c>
      <c r="N93" s="6"/>
      <c r="O93" s="4"/>
      <c r="P93" s="4"/>
      <c r="Q93" s="185"/>
      <c r="R93" s="5"/>
      <c r="S93" s="4"/>
      <c r="T93" s="4"/>
      <c r="U93" s="65">
        <f>Table1[[#This Row],[Frequency After Control Measures]]*Table1[[#This Row],[Severity After Control Measures]]*Table1[[#This Row],[Likelihood After Control Measures]]</f>
        <v>0</v>
      </c>
      <c r="V93" s="86" t="str">
        <f t="shared" si="0"/>
        <v/>
      </c>
      <c r="W93" s="64"/>
      <c r="X93" s="64"/>
      <c r="Y93" s="66"/>
      <c r="Z93" s="66"/>
      <c r="AA93" s="4"/>
      <c r="AB93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93" s="65">
        <f>IF(Table1[[#This Row],[Action Closed]]="Yes",Table1[[#This Row],[Risk Score2]],Table1[[#This Row],[Risk Score]])</f>
        <v>0</v>
      </c>
      <c r="AD93" s="87">
        <f>IF(Table1[[#This Row],[Action Closed]]="Yes",Table1[[#This Row],[Severity After Control Measures]],Table1[[#This Row],[Severity]])</f>
        <v>0</v>
      </c>
      <c r="AE93" s="67"/>
      <c r="AF93" s="67"/>
      <c r="AG93" s="67"/>
      <c r="AH93" s="67"/>
      <c r="AI93" s="67"/>
    </row>
    <row r="94" spans="1:35" s="68" customFormat="1" ht="23.25" x14ac:dyDescent="0.25">
      <c r="A94" s="3"/>
      <c r="B94" s="194"/>
      <c r="C94" s="4"/>
      <c r="D94" s="4"/>
      <c r="E94" s="4"/>
      <c r="F94" s="4"/>
      <c r="G94" s="4"/>
      <c r="H94" s="4"/>
      <c r="I94" s="4"/>
      <c r="J94" s="5"/>
      <c r="K94" s="4"/>
      <c r="L94" s="4"/>
      <c r="M94" s="65">
        <f>Table1[[#This Row],[Frequency]]*Table1[[#This Row],[Severity]]*Table1[[#This Row],[Likelihood]]</f>
        <v>0</v>
      </c>
      <c r="N94" s="6"/>
      <c r="O94" s="4"/>
      <c r="P94" s="4"/>
      <c r="Q94" s="185"/>
      <c r="R94" s="5"/>
      <c r="S94" s="4"/>
      <c r="T94" s="4"/>
      <c r="U94" s="65">
        <f>Table1[[#This Row],[Frequency After Control Measures]]*Table1[[#This Row],[Severity After Control Measures]]*Table1[[#This Row],[Likelihood After Control Measures]]</f>
        <v>0</v>
      </c>
      <c r="V94" s="86" t="str">
        <f t="shared" si="0"/>
        <v/>
      </c>
      <c r="W94" s="64"/>
      <c r="X94" s="64"/>
      <c r="Y94" s="66"/>
      <c r="Z94" s="66"/>
      <c r="AA94" s="4"/>
      <c r="AB94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94" s="65">
        <f>IF(Table1[[#This Row],[Action Closed]]="Yes",Table1[[#This Row],[Risk Score2]],Table1[[#This Row],[Risk Score]])</f>
        <v>0</v>
      </c>
      <c r="AD94" s="87">
        <f>IF(Table1[[#This Row],[Action Closed]]="Yes",Table1[[#This Row],[Severity After Control Measures]],Table1[[#This Row],[Severity]])</f>
        <v>0</v>
      </c>
      <c r="AE94" s="67"/>
      <c r="AF94" s="67"/>
      <c r="AG94" s="67"/>
      <c r="AH94" s="67"/>
      <c r="AI94" s="67"/>
    </row>
    <row r="95" spans="1:35" s="68" customFormat="1" ht="23.25" x14ac:dyDescent="0.25">
      <c r="A95" s="3"/>
      <c r="B95" s="194"/>
      <c r="C95" s="4"/>
      <c r="D95" s="4"/>
      <c r="E95" s="4"/>
      <c r="F95" s="4"/>
      <c r="G95" s="4"/>
      <c r="H95" s="4"/>
      <c r="I95" s="4"/>
      <c r="J95" s="5"/>
      <c r="K95" s="4"/>
      <c r="L95" s="4"/>
      <c r="M95" s="65">
        <f>Table1[[#This Row],[Frequency]]*Table1[[#This Row],[Severity]]*Table1[[#This Row],[Likelihood]]</f>
        <v>0</v>
      </c>
      <c r="N95" s="6"/>
      <c r="O95" s="4"/>
      <c r="P95" s="4"/>
      <c r="Q95" s="185"/>
      <c r="R95" s="5"/>
      <c r="S95" s="4"/>
      <c r="T95" s="4"/>
      <c r="U95" s="65">
        <f>Table1[[#This Row],[Frequency After Control Measures]]*Table1[[#This Row],[Severity After Control Measures]]*Table1[[#This Row],[Likelihood After Control Measures]]</f>
        <v>0</v>
      </c>
      <c r="V95" s="86" t="str">
        <f t="shared" si="0"/>
        <v/>
      </c>
      <c r="W95" s="64"/>
      <c r="X95" s="64"/>
      <c r="Y95" s="66"/>
      <c r="Z95" s="66"/>
      <c r="AA95" s="4"/>
      <c r="AB95" s="84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95" s="65">
        <f>IF(Table1[[#This Row],[Action Closed]]="Yes",Table1[[#This Row],[Risk Score2]],Table1[[#This Row],[Risk Score]])</f>
        <v>0</v>
      </c>
      <c r="AD95" s="87">
        <f>IF(Table1[[#This Row],[Action Closed]]="Yes",Table1[[#This Row],[Severity After Control Measures]],Table1[[#This Row],[Severity]])</f>
        <v>0</v>
      </c>
      <c r="AE95" s="67"/>
      <c r="AF95" s="67"/>
      <c r="AG95" s="67"/>
      <c r="AH95" s="67"/>
      <c r="AI95" s="67"/>
    </row>
    <row r="96" spans="1:35" ht="24" thickBot="1" x14ac:dyDescent="0.3">
      <c r="A96" s="3">
        <v>999</v>
      </c>
      <c r="B96" s="194" t="s">
        <v>419</v>
      </c>
      <c r="C96" s="4"/>
      <c r="D96" s="4"/>
      <c r="E96" s="4"/>
      <c r="F96" s="4"/>
      <c r="G96" s="4"/>
      <c r="H96" s="4"/>
      <c r="I96" s="4"/>
      <c r="J96" s="7"/>
      <c r="K96" s="4"/>
      <c r="L96" s="4"/>
      <c r="M96" s="65">
        <f>Table1[[#This Row],[Frequency]]*Table1[[#This Row],[Severity]]*Table1[[#This Row],[Likelihood]]</f>
        <v>0</v>
      </c>
      <c r="N96" s="6"/>
      <c r="O96" s="4"/>
      <c r="P96" s="4"/>
      <c r="Q96" s="185"/>
      <c r="R96" s="5"/>
      <c r="S96" s="4"/>
      <c r="T96" s="4"/>
      <c r="U96" s="65">
        <f>Table1[[#This Row],[Frequency After Control Measures]]*Table1[[#This Row],[Severity After Control Measures]]*Table1[[#This Row],[Likelihood After Control Measures]]</f>
        <v>0</v>
      </c>
      <c r="V96" s="86" t="str">
        <f t="shared" si="0"/>
        <v/>
      </c>
      <c r="W96" s="64"/>
      <c r="X96" s="64"/>
      <c r="Y96" s="66"/>
      <c r="Z96" s="66"/>
      <c r="AA96" s="4"/>
      <c r="AB96" s="85" t="str">
        <f ca="1">+IF(Table1[[#This Row],[
Additional Control Measures to be implemented to reduce or eliminate risk
]]="","",IF(Table1[[#This Row],[Action Closed]]="Yes","Completed",IF(TODAY()&gt;Table1[[#This Row],[Targeted Date]],"Overdue",IF(TODAY()&lt;=Table1[[#This Row],[Targeted Date]],"Ongoing",""))))</f>
        <v/>
      </c>
      <c r="AC96" s="65">
        <f>IF(Table1[[#This Row],[Action Closed]]="Yes",Table1[[#This Row],[Risk Score2]],Table1[[#This Row],[Risk Score]])</f>
        <v>0</v>
      </c>
      <c r="AD96" s="87">
        <f>IF(Table1[[#This Row],[Action Closed]]="Yes",Table1[[#This Row],[Severity After Control Measures]],Table1[[#This Row],[Severity]])</f>
        <v>0</v>
      </c>
    </row>
    <row r="97" spans="1:35" ht="24" thickBot="1" x14ac:dyDescent="0.3">
      <c r="A97" s="69" t="s">
        <v>44</v>
      </c>
      <c r="B97" s="195"/>
      <c r="C97" s="70"/>
      <c r="D97" s="70"/>
      <c r="E97" s="70"/>
      <c r="F97" s="70"/>
      <c r="G97" s="71"/>
      <c r="H97" s="70"/>
      <c r="I97" s="70"/>
      <c r="J97" s="72"/>
      <c r="K97" s="70"/>
      <c r="L97" s="70"/>
      <c r="M97" s="73">
        <f>SUBTOTAL(104,Table1[Risk Score])</f>
        <v>0</v>
      </c>
      <c r="N97" s="70"/>
      <c r="O97" s="70"/>
      <c r="P97" s="70"/>
      <c r="Q97" s="70"/>
      <c r="R97" s="70"/>
      <c r="S97" s="70"/>
      <c r="T97" s="70"/>
      <c r="U97" s="73">
        <f>SUBTOTAL(104,Table1[Risk Score2])</f>
        <v>0</v>
      </c>
      <c r="V97" s="74" t="e">
        <f>SUBTOTAL(101,Table1[% Risk Reduction])</f>
        <v>#DIV/0!</v>
      </c>
      <c r="W97" s="75"/>
      <c r="X97" s="75"/>
      <c r="Y97" s="88"/>
      <c r="Z97" s="75">
        <f>SUBTOTAL(103,Table1[Verifier])</f>
        <v>0</v>
      </c>
      <c r="AA97" s="70"/>
      <c r="AB97" s="70"/>
      <c r="AC97" s="73">
        <f>SUBTOTAL(104,Table1[Current RISK])</f>
        <v>0</v>
      </c>
      <c r="AD97" s="89">
        <f>SUBTOTAL(104,Table1[Current SEVERITY])</f>
        <v>0</v>
      </c>
    </row>
    <row r="98" spans="1:35" s="77" customFormat="1" ht="14.25" x14ac:dyDescent="0.25">
      <c r="A98" s="76"/>
      <c r="H98" s="78"/>
      <c r="O98" s="76"/>
      <c r="P98" s="76"/>
      <c r="Q98" s="76"/>
      <c r="R98" s="76"/>
      <c r="S98" s="76"/>
      <c r="T98" s="76"/>
      <c r="U98" s="76"/>
      <c r="V98" s="76"/>
      <c r="AC98" s="79"/>
      <c r="AD98" s="79"/>
      <c r="AE98" s="79"/>
      <c r="AF98" s="79"/>
      <c r="AG98" s="79"/>
      <c r="AH98" s="79"/>
      <c r="AI98" s="79"/>
    </row>
    <row r="99" spans="1:35" s="77" customFormat="1" ht="14.25" x14ac:dyDescent="0.25">
      <c r="A99" s="78"/>
      <c r="B99" s="15"/>
      <c r="C99" s="15"/>
      <c r="D99" s="15"/>
      <c r="E99" s="78"/>
      <c r="F99" s="15"/>
      <c r="G99" s="15"/>
      <c r="H99" s="15"/>
      <c r="I99" s="15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15"/>
      <c r="X99" s="80"/>
      <c r="Y99" s="15"/>
      <c r="Z99" s="15"/>
      <c r="AA99" s="15"/>
      <c r="AB99" s="15"/>
      <c r="AC99" s="13"/>
      <c r="AD99" s="79"/>
      <c r="AE99" s="79"/>
      <c r="AF99" s="79"/>
      <c r="AG99" s="79"/>
      <c r="AH99" s="79"/>
      <c r="AI99" s="79"/>
    </row>
    <row r="101" spans="1:35" ht="22.5" x14ac:dyDescent="0.25">
      <c r="A101" s="81" t="s">
        <v>80</v>
      </c>
      <c r="B101" s="196" t="s">
        <v>81</v>
      </c>
      <c r="C101" s="81" t="s">
        <v>82</v>
      </c>
    </row>
    <row r="102" spans="1:35" x14ac:dyDescent="0.25">
      <c r="A102" s="82">
        <v>1</v>
      </c>
      <c r="B102" s="197" t="s">
        <v>83</v>
      </c>
      <c r="C102" s="83">
        <v>45673</v>
      </c>
    </row>
    <row r="103" spans="1:35" x14ac:dyDescent="0.25">
      <c r="A103" s="82">
        <v>2</v>
      </c>
      <c r="B103" s="197"/>
      <c r="C103" s="82"/>
    </row>
    <row r="104" spans="1:35" x14ac:dyDescent="0.25">
      <c r="A104" s="82">
        <v>3</v>
      </c>
      <c r="B104" s="197"/>
      <c r="C104" s="82"/>
    </row>
    <row r="108" spans="1:35" x14ac:dyDescent="0.25">
      <c r="E108" s="15"/>
      <c r="J108" s="15"/>
      <c r="K108" s="15"/>
      <c r="L108" s="15"/>
      <c r="M108" s="15"/>
      <c r="N108" s="15"/>
    </row>
  </sheetData>
  <sheetProtection formatColumns="0" formatRows="0" insertRows="0" insertHyperlinks="0" deleteRows="0" sort="0" autoFilter="0" pivotTables="0"/>
  <mergeCells count="2">
    <mergeCell ref="AA14:AD14"/>
    <mergeCell ref="N14:V14"/>
  </mergeCells>
  <conditionalFormatting sqref="F6 M16:M97 U16:U97 AC16:AC97">
    <cfRule type="cellIs" dxfId="81" priority="1" operator="greaterThanOrEqual">
      <formula>72</formula>
    </cfRule>
    <cfRule type="cellIs" dxfId="80" priority="2" operator="between">
      <formula>50</formula>
      <formula>71</formula>
    </cfRule>
    <cfRule type="cellIs" dxfId="79" priority="3" operator="between">
      <formula>20</formula>
      <formula>49</formula>
    </cfRule>
    <cfRule type="cellIs" dxfId="78" priority="4" operator="lessThanOrEqual">
      <formula>19</formula>
    </cfRule>
  </conditionalFormatting>
  <conditionalFormatting sqref="I9">
    <cfRule type="cellIs" dxfId="77" priority="13" operator="greaterThanOrEqual">
      <formula>7</formula>
    </cfRule>
  </conditionalFormatting>
  <conditionalFormatting sqref="L9">
    <cfRule type="cellIs" dxfId="76" priority="14" stopIfTrue="1" operator="equal">
      <formula>"ORTA RİSK"</formula>
    </cfRule>
    <cfRule type="cellIs" dxfId="75" priority="15" stopIfTrue="1" operator="equal">
      <formula>"YÜKSEK RİSK"</formula>
    </cfRule>
    <cfRule type="cellIs" dxfId="74" priority="16" stopIfTrue="1" operator="equal">
      <formula>"ÇOK YÜKSEK RİSK"</formula>
    </cfRule>
  </conditionalFormatting>
  <dataValidations count="4">
    <dataValidation type="list" allowBlank="1" showInputMessage="1" showErrorMessage="1" sqref="I16:I96" xr:uid="{79AFA377-7B74-4AC3-AC00-FC73A0602B84}">
      <formula1>"Routine, Non-routine, Emergency situation"</formula1>
    </dataValidation>
    <dataValidation type="list" allowBlank="1" showInputMessage="1" showErrorMessage="1" sqref="AA16:AA96" xr:uid="{5071BE8B-F8BA-4AF2-8BA5-7AED364C8BFA}">
      <formula1>"Yes,No"</formula1>
    </dataValidation>
    <dataValidation type="list" allowBlank="1" showInputMessage="1" showErrorMessage="1" sqref="O16:O96" xr:uid="{D049A050-E441-4751-A0FC-1A0FDA4C6387}">
      <formula1>"1, 2, 3, 4, 5, 6"</formula1>
    </dataValidation>
    <dataValidation type="date" allowBlank="1" showInputMessage="1" showErrorMessage="1" error="DD/MM/YYYY" sqref="Q16:Q96" xr:uid="{60FD7F8C-7703-4B16-B73B-0D548691098E}">
      <formula1>36526</formula1>
      <formula2>73051</formula2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87A1ABF-E2E0-4A47-BE10-030286436F9D}">
          <x14:formula1>
            <xm:f>Lists!$B$4:$K$4</xm:f>
          </x14:formula1>
          <xm:sqref>C16:C96</xm:sqref>
        </x14:dataValidation>
        <x14:dataValidation type="list" allowBlank="1" showInputMessage="1" showErrorMessage="1" xr:uid="{E44A69B0-FF93-4A92-8204-CCBC859BB2CB}">
          <x14:formula1>
            <xm:f>_xlfn.XLOOKUP(C16,Lists!$B$4:$K$4,Lists!$B$5:$K$45)</xm:f>
          </x14:formula1>
          <xm:sqref>D16:D96</xm:sqref>
        </x14:dataValidation>
        <x14:dataValidation type="list" allowBlank="1" showInputMessage="1" showErrorMessage="1" xr:uid="{4B1A2EF6-3869-4585-89D0-245B0EF1A540}">
          <x14:formula1>
            <xm:f>Lists!$P$5:$P$9</xm:f>
          </x14:formula1>
          <xm:sqref>R16:R96 J16:J96</xm:sqref>
        </x14:dataValidation>
        <x14:dataValidation type="list" allowBlank="1" showInputMessage="1" showErrorMessage="1" xr:uid="{5BA3A900-2674-4708-B3E0-73654A5F4571}">
          <x14:formula1>
            <xm:f>Lists!$Q$5:$Q$10</xm:f>
          </x14:formula1>
          <xm:sqref>S16:S96 K16:K96</xm:sqref>
        </x14:dataValidation>
        <x14:dataValidation type="list" allowBlank="1" showInputMessage="1" showErrorMessage="1" xr:uid="{8B6B103D-1F27-4C28-AEE5-14A418DCCA25}">
          <x14:formula1>
            <xm:f>Lists!$R$5:$R$9</xm:f>
          </x14:formula1>
          <xm:sqref>T16:T96 L16:L96</xm:sqref>
        </x14:dataValidation>
        <x14:dataValidation type="list" allowBlank="1" showInputMessage="1" showErrorMessage="1" xr:uid="{7B3DB0A3-FD6C-4DDE-8211-591F8A644D21}">
          <x14:formula1>
            <xm:f>Lists!$U$5:$U$87</xm:f>
          </x14:formula1>
          <xm:sqref>E16:E96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2A9E7-4EF7-4B55-816C-C22AAB1525C5}">
  <sheetPr codeName="Sheet2"/>
  <dimension ref="B2:AE70"/>
  <sheetViews>
    <sheetView zoomScale="70" zoomScaleNormal="70" workbookViewId="0">
      <selection activeCell="C4" sqref="C4:C28"/>
    </sheetView>
  </sheetViews>
  <sheetFormatPr defaultColWidth="9.140625" defaultRowHeight="15" x14ac:dyDescent="0.25"/>
  <cols>
    <col min="1" max="1" width="13.7109375" style="8" customWidth="1"/>
    <col min="2" max="4" width="45.85546875" style="8" customWidth="1"/>
    <col min="5" max="5" width="62.140625" style="8" bestFit="1" customWidth="1"/>
    <col min="6" max="11" width="45.85546875" style="8" customWidth="1"/>
    <col min="12" max="13" width="9.140625" style="8"/>
    <col min="14" max="14" width="27.85546875" style="8" bestFit="1" customWidth="1"/>
    <col min="15" max="15" width="9.140625" style="8"/>
    <col min="16" max="16" width="13" style="8" bestFit="1" customWidth="1"/>
    <col min="17" max="17" width="11.7109375" style="8" bestFit="1" customWidth="1"/>
    <col min="18" max="18" width="13" style="8" bestFit="1" customWidth="1"/>
    <col min="19" max="19" width="24.42578125" style="8" bestFit="1" customWidth="1"/>
    <col min="20" max="20" width="5.7109375" style="8" bestFit="1" customWidth="1"/>
    <col min="21" max="21" width="52" style="8" bestFit="1" customWidth="1"/>
    <col min="22" max="30" width="9.140625" style="8"/>
    <col min="31" max="31" width="9.140625" style="175"/>
    <col min="32" max="16384" width="9.140625" style="8"/>
  </cols>
  <sheetData>
    <row r="2" spans="2:31" x14ac:dyDescent="0.25">
      <c r="B2" s="208" t="s">
        <v>45</v>
      </c>
      <c r="C2" s="208"/>
      <c r="D2" s="208"/>
      <c r="E2" s="208"/>
      <c r="F2" s="208"/>
      <c r="G2" s="208"/>
      <c r="H2" s="208"/>
      <c r="I2" s="208"/>
      <c r="J2" s="208"/>
    </row>
    <row r="3" spans="2:31" x14ac:dyDescent="0.25">
      <c r="B3" s="208"/>
      <c r="C3" s="208"/>
      <c r="D3" s="208"/>
      <c r="E3" s="208"/>
      <c r="F3" s="208"/>
      <c r="G3" s="208"/>
      <c r="H3" s="208"/>
      <c r="I3" s="208"/>
      <c r="J3" s="208"/>
    </row>
    <row r="4" spans="2:31" s="9" customFormat="1" ht="21" x14ac:dyDescent="0.25">
      <c r="B4" s="133" t="s">
        <v>179</v>
      </c>
      <c r="C4" s="134" t="s">
        <v>180</v>
      </c>
      <c r="D4" s="135" t="s">
        <v>181</v>
      </c>
      <c r="E4" s="136" t="s">
        <v>46</v>
      </c>
      <c r="F4" s="137" t="s">
        <v>182</v>
      </c>
      <c r="G4" s="138" t="s">
        <v>183</v>
      </c>
      <c r="H4" s="139" t="s">
        <v>47</v>
      </c>
      <c r="I4" s="140" t="s">
        <v>184</v>
      </c>
      <c r="J4" s="141" t="s">
        <v>185</v>
      </c>
      <c r="K4" s="142" t="s">
        <v>186</v>
      </c>
      <c r="N4" s="177" t="s">
        <v>66</v>
      </c>
      <c r="O4" s="8"/>
      <c r="P4" s="178" t="s">
        <v>67</v>
      </c>
      <c r="Q4" s="178" t="s">
        <v>25</v>
      </c>
      <c r="R4" s="178" t="s">
        <v>68</v>
      </c>
      <c r="S4" s="178" t="s">
        <v>69</v>
      </c>
      <c r="T4" s="10" t="s">
        <v>70</v>
      </c>
      <c r="U4" s="180" t="s">
        <v>336</v>
      </c>
      <c r="AE4" s="176"/>
    </row>
    <row r="5" spans="2:31" ht="21" x14ac:dyDescent="0.25">
      <c r="B5" s="143" t="s">
        <v>187</v>
      </c>
      <c r="C5" s="144" t="s">
        <v>188</v>
      </c>
      <c r="D5" s="145" t="s">
        <v>189</v>
      </c>
      <c r="E5" s="146" t="s">
        <v>190</v>
      </c>
      <c r="F5" s="147" t="s">
        <v>191</v>
      </c>
      <c r="G5" s="148" t="s">
        <v>192</v>
      </c>
      <c r="H5" s="149" t="s">
        <v>193</v>
      </c>
      <c r="I5" s="150" t="s">
        <v>194</v>
      </c>
      <c r="J5" s="151" t="s">
        <v>195</v>
      </c>
      <c r="K5" s="152" t="s">
        <v>196</v>
      </c>
      <c r="N5" s="177" t="s">
        <v>71</v>
      </c>
      <c r="P5" s="179">
        <v>1</v>
      </c>
      <c r="Q5" s="177">
        <v>1</v>
      </c>
      <c r="R5" s="177">
        <v>1</v>
      </c>
      <c r="S5" s="177">
        <v>1</v>
      </c>
      <c r="U5" s="99" t="s">
        <v>337</v>
      </c>
    </row>
    <row r="6" spans="2:31" ht="21" x14ac:dyDescent="0.25">
      <c r="B6" s="143" t="s">
        <v>60</v>
      </c>
      <c r="C6" s="144" t="s">
        <v>197</v>
      </c>
      <c r="D6" s="145" t="s">
        <v>198</v>
      </c>
      <c r="E6" s="146" t="s">
        <v>54</v>
      </c>
      <c r="F6" s="147" t="s">
        <v>199</v>
      </c>
      <c r="G6" s="148" t="s">
        <v>200</v>
      </c>
      <c r="H6" s="149" t="s">
        <v>201</v>
      </c>
      <c r="I6" s="150" t="s">
        <v>202</v>
      </c>
      <c r="J6" s="151" t="s">
        <v>203</v>
      </c>
      <c r="K6" s="152" t="s">
        <v>204</v>
      </c>
      <c r="N6" s="177" t="s">
        <v>72</v>
      </c>
      <c r="P6" s="179">
        <v>1.25</v>
      </c>
      <c r="Q6" s="177">
        <v>3</v>
      </c>
      <c r="R6" s="177">
        <v>3</v>
      </c>
      <c r="S6" s="177">
        <v>2</v>
      </c>
      <c r="U6" s="99" t="s">
        <v>338</v>
      </c>
    </row>
    <row r="7" spans="2:31" ht="21" x14ac:dyDescent="0.25">
      <c r="B7" s="143" t="s">
        <v>205</v>
      </c>
      <c r="C7" s="144" t="s">
        <v>206</v>
      </c>
      <c r="D7" s="145" t="s">
        <v>207</v>
      </c>
      <c r="E7" s="146" t="s">
        <v>208</v>
      </c>
      <c r="F7" s="147" t="s">
        <v>209</v>
      </c>
      <c r="G7" s="148" t="s">
        <v>210</v>
      </c>
      <c r="H7" s="149" t="s">
        <v>211</v>
      </c>
      <c r="I7" s="150" t="s">
        <v>212</v>
      </c>
      <c r="J7" s="151" t="s">
        <v>213</v>
      </c>
      <c r="K7" s="152" t="s">
        <v>214</v>
      </c>
      <c r="P7" s="179">
        <v>1.5</v>
      </c>
      <c r="Q7" s="177">
        <v>5</v>
      </c>
      <c r="R7" s="177">
        <v>5</v>
      </c>
      <c r="S7" s="177">
        <v>3</v>
      </c>
      <c r="U7" s="99" t="s">
        <v>339</v>
      </c>
    </row>
    <row r="8" spans="2:31" ht="21" x14ac:dyDescent="0.25">
      <c r="B8" s="143" t="s">
        <v>215</v>
      </c>
      <c r="C8" s="144" t="s">
        <v>216</v>
      </c>
      <c r="D8" s="145" t="s">
        <v>217</v>
      </c>
      <c r="E8" s="146" t="s">
        <v>218</v>
      </c>
      <c r="F8" s="147" t="s">
        <v>219</v>
      </c>
      <c r="G8" s="148" t="s">
        <v>220</v>
      </c>
      <c r="H8" s="149" t="s">
        <v>221</v>
      </c>
      <c r="I8" s="150" t="s">
        <v>222</v>
      </c>
      <c r="J8" s="151" t="s">
        <v>223</v>
      </c>
      <c r="K8" s="152" t="s">
        <v>224</v>
      </c>
      <c r="P8" s="179">
        <v>1.75</v>
      </c>
      <c r="Q8" s="177">
        <v>7</v>
      </c>
      <c r="R8" s="177">
        <v>8</v>
      </c>
      <c r="S8" s="177">
        <v>4</v>
      </c>
      <c r="U8" s="99" t="s">
        <v>386</v>
      </c>
    </row>
    <row r="9" spans="2:31" ht="21" x14ac:dyDescent="0.25">
      <c r="B9" s="143" t="s">
        <v>225</v>
      </c>
      <c r="C9" s="144" t="s">
        <v>226</v>
      </c>
      <c r="D9" s="145" t="s">
        <v>227</v>
      </c>
      <c r="E9" s="146" t="s">
        <v>228</v>
      </c>
      <c r="F9" s="147" t="s">
        <v>57</v>
      </c>
      <c r="G9" s="148" t="s">
        <v>229</v>
      </c>
      <c r="H9" s="149" t="s">
        <v>230</v>
      </c>
      <c r="I9" s="150" t="s">
        <v>231</v>
      </c>
      <c r="J9" s="151" t="s">
        <v>232</v>
      </c>
      <c r="K9" s="153"/>
      <c r="P9" s="179">
        <v>2</v>
      </c>
      <c r="Q9" s="177">
        <v>9</v>
      </c>
      <c r="R9" s="177">
        <v>10</v>
      </c>
      <c r="S9" s="177">
        <v>5</v>
      </c>
      <c r="U9" s="99" t="s">
        <v>340</v>
      </c>
    </row>
    <row r="10" spans="2:31" ht="21" x14ac:dyDescent="0.25">
      <c r="B10" s="143" t="s">
        <v>233</v>
      </c>
      <c r="C10" s="144" t="s">
        <v>234</v>
      </c>
      <c r="D10" s="145" t="s">
        <v>235</v>
      </c>
      <c r="E10" s="146" t="s">
        <v>236</v>
      </c>
      <c r="F10" s="147" t="s">
        <v>237</v>
      </c>
      <c r="G10" s="148" t="s">
        <v>238</v>
      </c>
      <c r="H10" s="100" t="s">
        <v>239</v>
      </c>
      <c r="I10" s="150" t="s">
        <v>240</v>
      </c>
      <c r="J10" s="151" t="s">
        <v>241</v>
      </c>
      <c r="K10" s="154"/>
      <c r="P10" s="175"/>
      <c r="Q10" s="177">
        <v>10</v>
      </c>
      <c r="R10" s="175"/>
      <c r="S10" s="177">
        <v>6</v>
      </c>
      <c r="U10" s="99" t="s">
        <v>341</v>
      </c>
    </row>
    <row r="11" spans="2:31" ht="18.75" x14ac:dyDescent="0.25">
      <c r="B11" s="143" t="s">
        <v>242</v>
      </c>
      <c r="C11" s="144" t="s">
        <v>243</v>
      </c>
      <c r="D11" s="145" t="s">
        <v>244</v>
      </c>
      <c r="E11" s="146" t="s">
        <v>245</v>
      </c>
      <c r="F11" s="147" t="s">
        <v>246</v>
      </c>
      <c r="G11" s="148" t="s">
        <v>247</v>
      </c>
      <c r="H11" s="100" t="s">
        <v>248</v>
      </c>
      <c r="I11" s="150" t="s">
        <v>249</v>
      </c>
      <c r="J11" s="155" t="s">
        <v>250</v>
      </c>
      <c r="K11" s="156"/>
      <c r="U11" s="99" t="s">
        <v>342</v>
      </c>
    </row>
    <row r="12" spans="2:31" ht="18.75" x14ac:dyDescent="0.25">
      <c r="B12" s="143" t="s">
        <v>251</v>
      </c>
      <c r="C12" s="144" t="s">
        <v>252</v>
      </c>
      <c r="D12" s="145" t="s">
        <v>253</v>
      </c>
      <c r="E12" s="146" t="s">
        <v>254</v>
      </c>
      <c r="F12" s="147" t="s">
        <v>63</v>
      </c>
      <c r="G12" s="148" t="s">
        <v>255</v>
      </c>
      <c r="H12" s="100" t="s">
        <v>256</v>
      </c>
      <c r="I12" s="150" t="s">
        <v>257</v>
      </c>
      <c r="J12" s="155" t="s">
        <v>51</v>
      </c>
      <c r="K12" s="156"/>
      <c r="U12" s="99" t="s">
        <v>343</v>
      </c>
    </row>
    <row r="13" spans="2:31" ht="18.75" x14ac:dyDescent="0.25">
      <c r="B13" s="143" t="s">
        <v>258</v>
      </c>
      <c r="C13" s="144" t="s">
        <v>259</v>
      </c>
      <c r="D13" s="157" t="s">
        <v>260</v>
      </c>
      <c r="E13" s="146" t="s">
        <v>49</v>
      </c>
      <c r="F13" s="147" t="s">
        <v>55</v>
      </c>
      <c r="G13" s="158" t="s">
        <v>261</v>
      </c>
      <c r="H13" s="149" t="s">
        <v>262</v>
      </c>
      <c r="I13" s="150" t="s">
        <v>263</v>
      </c>
      <c r="J13" s="151" t="s">
        <v>264</v>
      </c>
      <c r="K13" s="153"/>
      <c r="U13" s="99" t="s">
        <v>344</v>
      </c>
    </row>
    <row r="14" spans="2:31" ht="18.75" x14ac:dyDescent="0.25">
      <c r="B14" s="143" t="s">
        <v>265</v>
      </c>
      <c r="C14" s="144" t="s">
        <v>266</v>
      </c>
      <c r="D14" s="157" t="s">
        <v>267</v>
      </c>
      <c r="E14" s="146" t="s">
        <v>268</v>
      </c>
      <c r="F14" s="147" t="s">
        <v>59</v>
      </c>
      <c r="G14" s="148" t="s">
        <v>269</v>
      </c>
      <c r="H14" s="149" t="s">
        <v>270</v>
      </c>
      <c r="I14" s="150" t="s">
        <v>271</v>
      </c>
      <c r="J14" s="151" t="s">
        <v>50</v>
      </c>
      <c r="K14" s="153"/>
      <c r="U14" s="99" t="s">
        <v>345</v>
      </c>
    </row>
    <row r="15" spans="2:31" ht="18.75" x14ac:dyDescent="0.25">
      <c r="B15" s="143" t="s">
        <v>272</v>
      </c>
      <c r="C15" s="144" t="s">
        <v>273</v>
      </c>
      <c r="D15" s="145" t="s">
        <v>274</v>
      </c>
      <c r="E15" s="146" t="s">
        <v>275</v>
      </c>
      <c r="F15" s="147" t="s">
        <v>276</v>
      </c>
      <c r="G15" s="148" t="s">
        <v>277</v>
      </c>
      <c r="H15" s="100" t="s">
        <v>278</v>
      </c>
      <c r="I15" s="150" t="s">
        <v>279</v>
      </c>
      <c r="J15" s="155" t="s">
        <v>280</v>
      </c>
      <c r="K15" s="153"/>
      <c r="U15" s="99" t="s">
        <v>378</v>
      </c>
    </row>
    <row r="16" spans="2:31" ht="18.75" x14ac:dyDescent="0.25">
      <c r="B16" s="143" t="s">
        <v>52</v>
      </c>
      <c r="C16" s="144" t="s">
        <v>281</v>
      </c>
      <c r="D16" s="159"/>
      <c r="E16" s="146" t="s">
        <v>53</v>
      </c>
      <c r="F16" s="147" t="s">
        <v>282</v>
      </c>
      <c r="G16" s="148" t="s">
        <v>283</v>
      </c>
      <c r="H16" s="149" t="s">
        <v>284</v>
      </c>
      <c r="I16" s="150" t="s">
        <v>285</v>
      </c>
      <c r="J16" s="160"/>
      <c r="K16" s="153"/>
      <c r="U16" s="99" t="s">
        <v>388</v>
      </c>
    </row>
    <row r="17" spans="2:21" ht="18.75" x14ac:dyDescent="0.25">
      <c r="B17" s="143" t="s">
        <v>286</v>
      </c>
      <c r="C17" s="144" t="s">
        <v>287</v>
      </c>
      <c r="D17" s="157"/>
      <c r="E17" s="146" t="s">
        <v>61</v>
      </c>
      <c r="F17" s="147" t="s">
        <v>288</v>
      </c>
      <c r="G17" s="148"/>
      <c r="H17" s="100"/>
      <c r="I17" s="150" t="s">
        <v>289</v>
      </c>
      <c r="J17" s="160"/>
      <c r="K17" s="153"/>
      <c r="U17" s="99" t="s">
        <v>346</v>
      </c>
    </row>
    <row r="18" spans="2:21" ht="18.75" x14ac:dyDescent="0.25">
      <c r="B18" s="143" t="s">
        <v>290</v>
      </c>
      <c r="C18" s="144" t="s">
        <v>291</v>
      </c>
      <c r="D18" s="157"/>
      <c r="E18" s="146" t="s">
        <v>58</v>
      </c>
      <c r="F18" s="147" t="s">
        <v>292</v>
      </c>
      <c r="G18" s="148"/>
      <c r="H18" s="98"/>
      <c r="I18" s="150" t="s">
        <v>64</v>
      </c>
      <c r="J18" s="160"/>
      <c r="K18" s="153"/>
      <c r="U18" s="99" t="s">
        <v>347</v>
      </c>
    </row>
    <row r="19" spans="2:21" ht="18.75" x14ac:dyDescent="0.25">
      <c r="B19" s="143" t="s">
        <v>293</v>
      </c>
      <c r="C19" s="144" t="s">
        <v>294</v>
      </c>
      <c r="D19" s="161"/>
      <c r="E19" s="146" t="s">
        <v>295</v>
      </c>
      <c r="F19" s="147" t="s">
        <v>296</v>
      </c>
      <c r="G19" s="148"/>
      <c r="H19" s="100"/>
      <c r="I19" s="150" t="s">
        <v>297</v>
      </c>
      <c r="J19" s="160"/>
      <c r="K19" s="162"/>
      <c r="U19" s="99" t="s">
        <v>348</v>
      </c>
    </row>
    <row r="20" spans="2:21" ht="18.75" x14ac:dyDescent="0.25">
      <c r="B20" s="143"/>
      <c r="C20" s="144" t="s">
        <v>298</v>
      </c>
      <c r="D20" s="157"/>
      <c r="E20" s="146" t="s">
        <v>299</v>
      </c>
      <c r="F20" s="147" t="s">
        <v>300</v>
      </c>
      <c r="G20" s="148"/>
      <c r="H20" s="100"/>
      <c r="I20" s="150" t="s">
        <v>301</v>
      </c>
      <c r="J20" s="160"/>
      <c r="K20" s="162"/>
      <c r="U20" s="99" t="s">
        <v>349</v>
      </c>
    </row>
    <row r="21" spans="2:21" ht="18.75" x14ac:dyDescent="0.25">
      <c r="B21" s="143"/>
      <c r="C21" s="144" t="s">
        <v>302</v>
      </c>
      <c r="D21" s="159"/>
      <c r="E21" s="163" t="s">
        <v>62</v>
      </c>
      <c r="F21" s="147"/>
      <c r="G21" s="158"/>
      <c r="H21" s="100"/>
      <c r="I21" s="150" t="s">
        <v>303</v>
      </c>
      <c r="J21" s="160"/>
      <c r="K21" s="162"/>
      <c r="U21" s="99" t="s">
        <v>391</v>
      </c>
    </row>
    <row r="22" spans="2:21" ht="18.75" x14ac:dyDescent="0.25">
      <c r="B22" s="164"/>
      <c r="C22" s="144" t="s">
        <v>48</v>
      </c>
      <c r="D22" s="159"/>
      <c r="E22" s="146" t="s">
        <v>304</v>
      </c>
      <c r="F22" s="147"/>
      <c r="G22" s="165"/>
      <c r="H22" s="149"/>
      <c r="I22" s="150" t="s">
        <v>305</v>
      </c>
      <c r="J22" s="160"/>
      <c r="K22" s="162"/>
      <c r="U22" s="99" t="s">
        <v>379</v>
      </c>
    </row>
    <row r="23" spans="2:21" ht="18.75" x14ac:dyDescent="0.25">
      <c r="B23" s="143"/>
      <c r="C23" s="144" t="s">
        <v>306</v>
      </c>
      <c r="D23" s="157"/>
      <c r="E23" s="166" t="s">
        <v>307</v>
      </c>
      <c r="F23" s="147"/>
      <c r="G23" s="158"/>
      <c r="H23" s="149"/>
      <c r="I23" s="150" t="s">
        <v>308</v>
      </c>
      <c r="J23" s="160"/>
      <c r="K23" s="162"/>
      <c r="U23" s="99" t="s">
        <v>350</v>
      </c>
    </row>
    <row r="24" spans="2:21" ht="21" x14ac:dyDescent="0.25">
      <c r="B24" s="143"/>
      <c r="C24" s="144" t="s">
        <v>309</v>
      </c>
      <c r="D24" s="157"/>
      <c r="E24" s="146" t="s">
        <v>310</v>
      </c>
      <c r="F24" s="147"/>
      <c r="G24" s="167"/>
      <c r="H24" s="149"/>
      <c r="I24" s="150" t="s">
        <v>311</v>
      </c>
      <c r="J24" s="168"/>
      <c r="K24" s="169"/>
      <c r="U24" s="99" t="s">
        <v>351</v>
      </c>
    </row>
    <row r="25" spans="2:21" ht="21" x14ac:dyDescent="0.25">
      <c r="B25" s="143"/>
      <c r="C25" s="144" t="s">
        <v>312</v>
      </c>
      <c r="D25" s="157"/>
      <c r="E25" s="146" t="s">
        <v>65</v>
      </c>
      <c r="F25" s="147"/>
      <c r="G25" s="167"/>
      <c r="H25" s="149"/>
      <c r="I25" s="150" t="s">
        <v>313</v>
      </c>
      <c r="J25" s="168"/>
      <c r="K25" s="169"/>
      <c r="U25" s="99" t="s">
        <v>380</v>
      </c>
    </row>
    <row r="26" spans="2:21" ht="21" x14ac:dyDescent="0.25">
      <c r="B26" s="143"/>
      <c r="C26" s="144" t="s">
        <v>314</v>
      </c>
      <c r="D26" s="170"/>
      <c r="E26" s="146" t="s">
        <v>315</v>
      </c>
      <c r="F26" s="147"/>
      <c r="G26" s="158"/>
      <c r="H26" s="149"/>
      <c r="I26" s="150" t="s">
        <v>316</v>
      </c>
      <c r="J26" s="168"/>
      <c r="K26" s="169"/>
      <c r="U26" s="99" t="s">
        <v>176</v>
      </c>
    </row>
    <row r="27" spans="2:21" ht="21" x14ac:dyDescent="0.25">
      <c r="B27" s="171"/>
      <c r="C27" s="144" t="s">
        <v>56</v>
      </c>
      <c r="D27" s="170"/>
      <c r="E27" s="146" t="s">
        <v>317</v>
      </c>
      <c r="F27" s="147"/>
      <c r="G27" s="167"/>
      <c r="H27" s="172"/>
      <c r="I27" s="150" t="s">
        <v>318</v>
      </c>
      <c r="J27" s="168"/>
      <c r="K27" s="169"/>
      <c r="U27" s="99" t="s">
        <v>381</v>
      </c>
    </row>
    <row r="28" spans="2:21" ht="21" x14ac:dyDescent="0.25">
      <c r="B28" s="171"/>
      <c r="C28" s="144" t="s">
        <v>319</v>
      </c>
      <c r="D28" s="170"/>
      <c r="E28" s="146"/>
      <c r="F28" s="147"/>
      <c r="G28" s="167"/>
      <c r="H28" s="149"/>
      <c r="I28" s="150" t="s">
        <v>320</v>
      </c>
      <c r="J28" s="168"/>
      <c r="K28" s="169"/>
      <c r="U28" s="99" t="s">
        <v>352</v>
      </c>
    </row>
    <row r="29" spans="2:21" ht="21" x14ac:dyDescent="0.25">
      <c r="B29" s="171"/>
      <c r="C29" s="173"/>
      <c r="D29" s="170"/>
      <c r="E29" s="146"/>
      <c r="F29" s="174"/>
      <c r="G29" s="167"/>
      <c r="H29" s="149"/>
      <c r="I29" s="150" t="s">
        <v>321</v>
      </c>
      <c r="J29" s="168"/>
      <c r="K29" s="169"/>
      <c r="U29" s="99" t="s">
        <v>420</v>
      </c>
    </row>
    <row r="30" spans="2:21" ht="21" x14ac:dyDescent="0.25">
      <c r="B30" s="171"/>
      <c r="C30" s="173"/>
      <c r="D30" s="170"/>
      <c r="E30" s="146"/>
      <c r="F30" s="174"/>
      <c r="G30" s="167"/>
      <c r="H30" s="149"/>
      <c r="I30" s="150" t="s">
        <v>322</v>
      </c>
      <c r="J30" s="168"/>
      <c r="K30" s="169"/>
      <c r="U30" s="99" t="s">
        <v>353</v>
      </c>
    </row>
    <row r="31" spans="2:21" ht="21" x14ac:dyDescent="0.25">
      <c r="B31" s="171"/>
      <c r="C31" s="173"/>
      <c r="D31" s="170"/>
      <c r="E31" s="146"/>
      <c r="F31" s="174"/>
      <c r="G31" s="167"/>
      <c r="H31" s="149"/>
      <c r="I31" s="150" t="s">
        <v>323</v>
      </c>
      <c r="J31" s="168"/>
      <c r="K31" s="169"/>
      <c r="U31" s="99" t="s">
        <v>382</v>
      </c>
    </row>
    <row r="32" spans="2:21" ht="21" x14ac:dyDescent="0.25">
      <c r="B32" s="171"/>
      <c r="C32" s="173"/>
      <c r="D32" s="170"/>
      <c r="E32" s="146"/>
      <c r="F32" s="174"/>
      <c r="G32" s="167"/>
      <c r="H32" s="149"/>
      <c r="I32" s="150" t="s">
        <v>324</v>
      </c>
      <c r="J32" s="168"/>
      <c r="K32" s="169"/>
      <c r="U32" s="99" t="s">
        <v>354</v>
      </c>
    </row>
    <row r="33" spans="2:21" ht="21" x14ac:dyDescent="0.25">
      <c r="B33" s="171"/>
      <c r="C33" s="173"/>
      <c r="D33" s="170"/>
      <c r="E33" s="146"/>
      <c r="F33" s="174"/>
      <c r="G33" s="167"/>
      <c r="H33" s="149"/>
      <c r="I33" s="150" t="s">
        <v>325</v>
      </c>
      <c r="J33" s="168"/>
      <c r="K33" s="169"/>
      <c r="U33" s="99" t="s">
        <v>355</v>
      </c>
    </row>
    <row r="34" spans="2:21" ht="21" x14ac:dyDescent="0.25">
      <c r="B34" s="171"/>
      <c r="C34" s="173"/>
      <c r="D34" s="170"/>
      <c r="E34" s="146"/>
      <c r="F34" s="174"/>
      <c r="G34" s="167"/>
      <c r="H34" s="100"/>
      <c r="I34" s="150" t="s">
        <v>326</v>
      </c>
      <c r="J34" s="168"/>
      <c r="K34" s="169"/>
      <c r="U34" s="99" t="s">
        <v>356</v>
      </c>
    </row>
    <row r="35" spans="2:21" ht="21" x14ac:dyDescent="0.25">
      <c r="B35" s="171"/>
      <c r="C35" s="173"/>
      <c r="D35" s="170"/>
      <c r="E35" s="146"/>
      <c r="F35" s="174"/>
      <c r="G35" s="167"/>
      <c r="H35" s="149"/>
      <c r="I35" s="150" t="s">
        <v>327</v>
      </c>
      <c r="J35" s="168"/>
      <c r="K35" s="169"/>
      <c r="U35" s="99" t="s">
        <v>383</v>
      </c>
    </row>
    <row r="36" spans="2:21" ht="21" x14ac:dyDescent="0.25">
      <c r="B36" s="171"/>
      <c r="C36" s="173"/>
      <c r="D36" s="170"/>
      <c r="E36" s="146"/>
      <c r="F36" s="174"/>
      <c r="G36" s="158"/>
      <c r="H36" s="100"/>
      <c r="I36" s="150" t="s">
        <v>328</v>
      </c>
      <c r="J36" s="168"/>
      <c r="K36" s="169"/>
      <c r="U36" s="99" t="s">
        <v>384</v>
      </c>
    </row>
    <row r="37" spans="2:21" ht="21" x14ac:dyDescent="0.25">
      <c r="B37" s="171"/>
      <c r="C37" s="173"/>
      <c r="D37" s="170"/>
      <c r="E37" s="146"/>
      <c r="F37" s="174"/>
      <c r="G37" s="167"/>
      <c r="H37" s="149"/>
      <c r="I37" s="150" t="s">
        <v>329</v>
      </c>
      <c r="J37" s="168"/>
      <c r="K37" s="169"/>
      <c r="U37" s="99" t="s">
        <v>357</v>
      </c>
    </row>
    <row r="38" spans="2:21" ht="21" x14ac:dyDescent="0.25">
      <c r="B38" s="171"/>
      <c r="C38" s="173"/>
      <c r="D38" s="170"/>
      <c r="E38" s="146"/>
      <c r="F38" s="174"/>
      <c r="G38" s="167"/>
      <c r="H38" s="149"/>
      <c r="I38" s="150" t="s">
        <v>330</v>
      </c>
      <c r="J38" s="168"/>
      <c r="K38" s="169"/>
      <c r="U38" s="99" t="s">
        <v>358</v>
      </c>
    </row>
    <row r="39" spans="2:21" ht="21" x14ac:dyDescent="0.25">
      <c r="B39" s="171"/>
      <c r="C39" s="173"/>
      <c r="D39" s="170"/>
      <c r="E39" s="146"/>
      <c r="F39" s="174"/>
      <c r="G39" s="167"/>
      <c r="H39" s="149"/>
      <c r="I39" s="150" t="s">
        <v>331</v>
      </c>
      <c r="J39" s="168"/>
      <c r="K39" s="169"/>
      <c r="U39" s="99" t="s">
        <v>385</v>
      </c>
    </row>
    <row r="40" spans="2:21" ht="21" x14ac:dyDescent="0.25">
      <c r="B40" s="171"/>
      <c r="C40" s="173"/>
      <c r="D40" s="170"/>
      <c r="E40" s="146"/>
      <c r="F40" s="174"/>
      <c r="G40" s="167"/>
      <c r="H40" s="149"/>
      <c r="I40" s="150" t="s">
        <v>332</v>
      </c>
      <c r="J40" s="168"/>
      <c r="K40" s="169"/>
      <c r="U40" s="99" t="s">
        <v>389</v>
      </c>
    </row>
    <row r="41" spans="2:21" ht="21" x14ac:dyDescent="0.25">
      <c r="B41" s="171"/>
      <c r="C41" s="173"/>
      <c r="D41" s="170"/>
      <c r="E41" s="146"/>
      <c r="F41" s="174"/>
      <c r="G41" s="167"/>
      <c r="H41" s="149"/>
      <c r="I41" s="150" t="s">
        <v>333</v>
      </c>
      <c r="J41" s="168"/>
      <c r="K41" s="169"/>
      <c r="U41" s="99" t="s">
        <v>359</v>
      </c>
    </row>
    <row r="42" spans="2:21" ht="21" x14ac:dyDescent="0.25">
      <c r="B42" s="171"/>
      <c r="C42" s="173"/>
      <c r="D42" s="170"/>
      <c r="E42" s="146"/>
      <c r="F42" s="174"/>
      <c r="G42" s="158"/>
      <c r="H42" s="149"/>
      <c r="I42" s="150" t="s">
        <v>334</v>
      </c>
      <c r="J42" s="168"/>
      <c r="K42" s="169"/>
      <c r="U42" s="99" t="s">
        <v>390</v>
      </c>
    </row>
    <row r="43" spans="2:21" ht="21" x14ac:dyDescent="0.25">
      <c r="B43" s="171"/>
      <c r="C43" s="173"/>
      <c r="D43" s="170"/>
      <c r="E43" s="146"/>
      <c r="F43" s="174"/>
      <c r="G43" s="167"/>
      <c r="H43" s="149"/>
      <c r="I43" s="150"/>
      <c r="J43" s="168"/>
      <c r="K43" s="169"/>
      <c r="U43" s="99" t="s">
        <v>177</v>
      </c>
    </row>
    <row r="44" spans="2:21" x14ac:dyDescent="0.25">
      <c r="U44" s="99" t="s">
        <v>360</v>
      </c>
    </row>
    <row r="45" spans="2:21" x14ac:dyDescent="0.25">
      <c r="U45" s="99" t="s">
        <v>387</v>
      </c>
    </row>
    <row r="46" spans="2:21" x14ac:dyDescent="0.25">
      <c r="U46" s="99" t="s">
        <v>361</v>
      </c>
    </row>
    <row r="47" spans="2:21" x14ac:dyDescent="0.25">
      <c r="U47" s="99" t="s">
        <v>362</v>
      </c>
    </row>
    <row r="48" spans="2:21" x14ac:dyDescent="0.25">
      <c r="U48" s="99" t="s">
        <v>363</v>
      </c>
    </row>
    <row r="49" spans="21:21" x14ac:dyDescent="0.25">
      <c r="U49" s="99" t="s">
        <v>364</v>
      </c>
    </row>
    <row r="50" spans="21:21" x14ac:dyDescent="0.25">
      <c r="U50" s="99" t="s">
        <v>365</v>
      </c>
    </row>
    <row r="51" spans="21:21" x14ac:dyDescent="0.25">
      <c r="U51" s="99" t="s">
        <v>366</v>
      </c>
    </row>
    <row r="52" spans="21:21" x14ac:dyDescent="0.25">
      <c r="U52" s="99" t="s">
        <v>367</v>
      </c>
    </row>
    <row r="53" spans="21:21" x14ac:dyDescent="0.25">
      <c r="U53" s="99" t="s">
        <v>368</v>
      </c>
    </row>
    <row r="54" spans="21:21" x14ac:dyDescent="0.25">
      <c r="U54" s="99" t="s">
        <v>369</v>
      </c>
    </row>
    <row r="55" spans="21:21" x14ac:dyDescent="0.25">
      <c r="U55" s="99" t="s">
        <v>370</v>
      </c>
    </row>
    <row r="56" spans="21:21" x14ac:dyDescent="0.25">
      <c r="U56" s="99" t="s">
        <v>371</v>
      </c>
    </row>
    <row r="57" spans="21:21" x14ac:dyDescent="0.25">
      <c r="U57" s="99" t="s">
        <v>392</v>
      </c>
    </row>
    <row r="58" spans="21:21" x14ac:dyDescent="0.25">
      <c r="U58" s="99" t="s">
        <v>372</v>
      </c>
    </row>
    <row r="59" spans="21:21" x14ac:dyDescent="0.25">
      <c r="U59" s="99" t="s">
        <v>393</v>
      </c>
    </row>
    <row r="60" spans="21:21" x14ac:dyDescent="0.25">
      <c r="U60" s="99" t="s">
        <v>394</v>
      </c>
    </row>
    <row r="61" spans="21:21" x14ac:dyDescent="0.25">
      <c r="U61" s="99" t="s">
        <v>395</v>
      </c>
    </row>
    <row r="62" spans="21:21" x14ac:dyDescent="0.25">
      <c r="U62" s="99" t="s">
        <v>374</v>
      </c>
    </row>
    <row r="63" spans="21:21" x14ac:dyDescent="0.25">
      <c r="U63" s="99" t="s">
        <v>396</v>
      </c>
    </row>
    <row r="64" spans="21:21" x14ac:dyDescent="0.25">
      <c r="U64" s="99" t="s">
        <v>398</v>
      </c>
    </row>
    <row r="65" spans="21:21" x14ac:dyDescent="0.25">
      <c r="U65" s="99" t="s">
        <v>375</v>
      </c>
    </row>
    <row r="66" spans="21:21" x14ac:dyDescent="0.25">
      <c r="U66" s="99" t="s">
        <v>376</v>
      </c>
    </row>
    <row r="67" spans="21:21" x14ac:dyDescent="0.25">
      <c r="U67" s="99" t="s">
        <v>377</v>
      </c>
    </row>
    <row r="68" spans="21:21" x14ac:dyDescent="0.25">
      <c r="U68" s="99" t="s">
        <v>397</v>
      </c>
    </row>
    <row r="69" spans="21:21" x14ac:dyDescent="0.25">
      <c r="U69" s="99" t="s">
        <v>373</v>
      </c>
    </row>
    <row r="70" spans="21:21" x14ac:dyDescent="0.25">
      <c r="U70" s="99" t="s">
        <v>399</v>
      </c>
    </row>
  </sheetData>
  <sortState xmlns:xlrd2="http://schemas.microsoft.com/office/spreadsheetml/2017/richdata2" ref="P46:U68">
    <sortCondition ref="U68"/>
  </sortState>
  <mergeCells count="1">
    <mergeCell ref="B2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35AC0-9AD4-49A6-B85D-2F7319BCE02A}">
  <sheetPr codeName="Sheet3"/>
  <dimension ref="B2:I37"/>
  <sheetViews>
    <sheetView showGridLines="0" zoomScale="85" zoomScaleNormal="85" workbookViewId="0">
      <selection activeCell="C3" sqref="C3:I28"/>
    </sheetView>
  </sheetViews>
  <sheetFormatPr defaultColWidth="9.140625" defaultRowHeight="15" x14ac:dyDescent="0.25"/>
  <cols>
    <col min="2" max="2" width="3.7109375" bestFit="1" customWidth="1"/>
    <col min="3" max="3" width="17.42578125" customWidth="1"/>
    <col min="4" max="9" width="21.42578125" customWidth="1"/>
    <col min="13" max="15" width="21.42578125" customWidth="1"/>
    <col min="16" max="16" width="9.140625" customWidth="1"/>
  </cols>
  <sheetData>
    <row r="2" spans="2:9" ht="15.75" thickBot="1" x14ac:dyDescent="0.3"/>
    <row r="3" spans="2:9" ht="15.75" x14ac:dyDescent="0.25">
      <c r="B3" s="240" t="s">
        <v>85</v>
      </c>
      <c r="C3" s="243" t="s">
        <v>86</v>
      </c>
      <c r="D3" s="101">
        <v>1</v>
      </c>
      <c r="E3" s="101">
        <v>3</v>
      </c>
      <c r="F3" s="101">
        <v>5</v>
      </c>
      <c r="G3" s="101">
        <v>7</v>
      </c>
      <c r="H3" s="101">
        <v>9</v>
      </c>
      <c r="I3" s="102">
        <v>10</v>
      </c>
    </row>
    <row r="4" spans="2:9" ht="35.25" customHeight="1" x14ac:dyDescent="0.25">
      <c r="B4" s="241"/>
      <c r="C4" s="244"/>
      <c r="D4" s="103" t="s">
        <v>87</v>
      </c>
      <c r="E4" s="103" t="s">
        <v>88</v>
      </c>
      <c r="F4" s="104" t="s">
        <v>89</v>
      </c>
      <c r="G4" s="103" t="s">
        <v>90</v>
      </c>
      <c r="H4" s="103" t="s">
        <v>91</v>
      </c>
      <c r="I4" s="105" t="s">
        <v>92</v>
      </c>
    </row>
    <row r="5" spans="2:9" ht="79.5" thickBot="1" x14ac:dyDescent="0.3">
      <c r="B5" s="242"/>
      <c r="C5" s="106" t="s">
        <v>93</v>
      </c>
      <c r="D5" s="107" t="s">
        <v>94</v>
      </c>
      <c r="E5" s="107" t="s">
        <v>95</v>
      </c>
      <c r="F5" s="107" t="s">
        <v>96</v>
      </c>
      <c r="G5" s="107" t="s">
        <v>97</v>
      </c>
      <c r="H5" s="107" t="s">
        <v>98</v>
      </c>
      <c r="I5" s="108" t="s">
        <v>99</v>
      </c>
    </row>
    <row r="6" spans="2:9" ht="15.75" thickBot="1" x14ac:dyDescent="0.3"/>
    <row r="7" spans="2:9" ht="15.75" customHeight="1" x14ac:dyDescent="0.25">
      <c r="B7" s="240" t="s">
        <v>100</v>
      </c>
      <c r="C7" s="243" t="s">
        <v>101</v>
      </c>
      <c r="D7" s="101">
        <v>1</v>
      </c>
      <c r="E7" s="101">
        <v>3</v>
      </c>
      <c r="F7" s="101">
        <v>5</v>
      </c>
      <c r="G7" s="101">
        <v>8</v>
      </c>
      <c r="H7" s="102">
        <v>10</v>
      </c>
    </row>
    <row r="8" spans="2:9" ht="35.25" customHeight="1" x14ac:dyDescent="0.25">
      <c r="B8" s="241"/>
      <c r="C8" s="244"/>
      <c r="D8" s="109" t="s">
        <v>102</v>
      </c>
      <c r="E8" s="109" t="s">
        <v>103</v>
      </c>
      <c r="F8" s="109" t="s">
        <v>104</v>
      </c>
      <c r="G8" s="109" t="s">
        <v>105</v>
      </c>
      <c r="H8" s="110" t="s">
        <v>106</v>
      </c>
    </row>
    <row r="9" spans="2:9" ht="102" thickBot="1" x14ac:dyDescent="0.3">
      <c r="B9" s="241"/>
      <c r="C9" s="111" t="s">
        <v>107</v>
      </c>
      <c r="D9" s="112" t="s">
        <v>174</v>
      </c>
      <c r="E9" s="112" t="s">
        <v>175</v>
      </c>
      <c r="F9" s="113" t="s">
        <v>108</v>
      </c>
      <c r="G9" s="114" t="s">
        <v>109</v>
      </c>
      <c r="H9" s="115" t="s">
        <v>110</v>
      </c>
      <c r="I9" s="116"/>
    </row>
    <row r="10" spans="2:9" ht="34.5" customHeight="1" thickTop="1" x14ac:dyDescent="0.25">
      <c r="B10" s="241"/>
      <c r="C10" s="235" t="s">
        <v>111</v>
      </c>
      <c r="D10" s="117" t="s">
        <v>112</v>
      </c>
      <c r="E10" s="117" t="s">
        <v>113</v>
      </c>
      <c r="F10" s="117" t="s">
        <v>114</v>
      </c>
      <c r="G10" s="245" t="s">
        <v>115</v>
      </c>
      <c r="H10" s="233" t="s">
        <v>116</v>
      </c>
      <c r="I10" s="118"/>
    </row>
    <row r="11" spans="2:9" ht="34.5" customHeight="1" thickBot="1" x14ac:dyDescent="0.3">
      <c r="B11" s="241"/>
      <c r="C11" s="247"/>
      <c r="D11" s="119" t="s">
        <v>117</v>
      </c>
      <c r="E11" s="119" t="s">
        <v>118</v>
      </c>
      <c r="F11" s="119" t="s">
        <v>119</v>
      </c>
      <c r="G11" s="246"/>
      <c r="H11" s="234"/>
    </row>
    <row r="12" spans="2:9" ht="30" customHeight="1" thickTop="1" x14ac:dyDescent="0.25">
      <c r="B12" s="241"/>
      <c r="C12" s="235" t="s">
        <v>120</v>
      </c>
      <c r="D12" s="237" t="s">
        <v>121</v>
      </c>
      <c r="E12" s="120" t="s">
        <v>122</v>
      </c>
      <c r="F12" s="120" t="s">
        <v>123</v>
      </c>
      <c r="G12" s="121" t="s">
        <v>124</v>
      </c>
      <c r="H12" s="233" t="s">
        <v>125</v>
      </c>
    </row>
    <row r="13" spans="2:9" ht="30" customHeight="1" thickBot="1" x14ac:dyDescent="0.3">
      <c r="B13" s="242"/>
      <c r="C13" s="236"/>
      <c r="D13" s="238"/>
      <c r="E13" s="122" t="s">
        <v>126</v>
      </c>
      <c r="F13" s="122" t="s">
        <v>127</v>
      </c>
      <c r="G13" s="122" t="s">
        <v>128</v>
      </c>
      <c r="H13" s="239"/>
      <c r="I13" s="123"/>
    </row>
    <row r="14" spans="2:9" ht="15.75" thickBot="1" x14ac:dyDescent="0.3"/>
    <row r="15" spans="2:9" ht="15.75" customHeight="1" x14ac:dyDescent="0.25">
      <c r="B15" s="240" t="s">
        <v>129</v>
      </c>
      <c r="C15" s="243" t="s">
        <v>130</v>
      </c>
      <c r="D15" s="101">
        <v>1</v>
      </c>
      <c r="E15" s="101">
        <v>1.25</v>
      </c>
      <c r="F15" s="101">
        <v>1.5</v>
      </c>
      <c r="G15" s="101">
        <v>1.75</v>
      </c>
      <c r="H15" s="102">
        <v>2</v>
      </c>
    </row>
    <row r="16" spans="2:9" ht="35.25" customHeight="1" x14ac:dyDescent="0.25">
      <c r="B16" s="241"/>
      <c r="C16" s="244"/>
      <c r="D16" s="103" t="s">
        <v>131</v>
      </c>
      <c r="E16" s="103" t="s">
        <v>132</v>
      </c>
      <c r="F16" s="103" t="s">
        <v>133</v>
      </c>
      <c r="G16" s="103" t="s">
        <v>134</v>
      </c>
      <c r="H16" s="105" t="s">
        <v>135</v>
      </c>
    </row>
    <row r="17" spans="2:9" x14ac:dyDescent="0.25">
      <c r="B17" s="241"/>
      <c r="C17" s="124" t="s">
        <v>136</v>
      </c>
      <c r="D17" s="125" t="s">
        <v>137</v>
      </c>
      <c r="E17" s="126" t="s">
        <v>138</v>
      </c>
      <c r="F17" s="126" t="s">
        <v>139</v>
      </c>
      <c r="G17" s="126" t="s">
        <v>140</v>
      </c>
      <c r="H17" s="127" t="s">
        <v>141</v>
      </c>
    </row>
    <row r="18" spans="2:9" x14ac:dyDescent="0.25">
      <c r="B18" s="241"/>
      <c r="C18" s="124" t="s">
        <v>142</v>
      </c>
      <c r="D18" s="125" t="s">
        <v>137</v>
      </c>
      <c r="E18" s="126" t="s">
        <v>143</v>
      </c>
      <c r="F18" s="126" t="s">
        <v>144</v>
      </c>
      <c r="G18" s="126" t="s">
        <v>145</v>
      </c>
      <c r="H18" s="127" t="s">
        <v>146</v>
      </c>
    </row>
    <row r="19" spans="2:9" x14ac:dyDescent="0.25">
      <c r="B19" s="241"/>
      <c r="C19" s="124" t="s">
        <v>147</v>
      </c>
      <c r="D19" s="126" t="s">
        <v>148</v>
      </c>
      <c r="E19" s="126" t="s">
        <v>149</v>
      </c>
      <c r="F19" s="126" t="s">
        <v>150</v>
      </c>
      <c r="G19" s="126" t="s">
        <v>151</v>
      </c>
      <c r="H19" s="127" t="s">
        <v>152</v>
      </c>
    </row>
    <row r="20" spans="2:9" ht="15.75" thickBot="1" x14ac:dyDescent="0.3">
      <c r="B20" s="242"/>
      <c r="C20" s="128" t="s">
        <v>153</v>
      </c>
      <c r="D20" s="129" t="s">
        <v>154</v>
      </c>
      <c r="E20" s="129" t="s">
        <v>155</v>
      </c>
      <c r="F20" s="129" t="s">
        <v>156</v>
      </c>
      <c r="G20" s="129" t="s">
        <v>157</v>
      </c>
      <c r="H20" s="130" t="s">
        <v>158</v>
      </c>
    </row>
    <row r="24" spans="2:9" ht="18" x14ac:dyDescent="0.25">
      <c r="C24" s="230" t="s">
        <v>159</v>
      </c>
      <c r="D24" s="230"/>
      <c r="E24" s="230" t="s">
        <v>160</v>
      </c>
      <c r="F24" s="230"/>
      <c r="G24" s="230" t="s">
        <v>161</v>
      </c>
      <c r="H24" s="230"/>
      <c r="I24" s="230"/>
    </row>
    <row r="25" spans="2:9" ht="41.25" customHeight="1" x14ac:dyDescent="0.25">
      <c r="C25" s="221" t="s">
        <v>162</v>
      </c>
      <c r="D25" s="222"/>
      <c r="E25" s="231" t="s">
        <v>163</v>
      </c>
      <c r="F25" s="232"/>
      <c r="G25" s="225" t="s">
        <v>164</v>
      </c>
      <c r="H25" s="225"/>
      <c r="I25" s="225"/>
    </row>
    <row r="26" spans="2:9" ht="41.25" customHeight="1" x14ac:dyDescent="0.25">
      <c r="C26" s="221" t="s">
        <v>165</v>
      </c>
      <c r="D26" s="222"/>
      <c r="E26" s="226" t="s">
        <v>166</v>
      </c>
      <c r="F26" s="227"/>
      <c r="G26" s="225" t="s">
        <v>167</v>
      </c>
      <c r="H26" s="225"/>
      <c r="I26" s="225"/>
    </row>
    <row r="27" spans="2:9" ht="41.25" customHeight="1" x14ac:dyDescent="0.25">
      <c r="C27" s="221" t="s">
        <v>168</v>
      </c>
      <c r="D27" s="222"/>
      <c r="E27" s="228" t="s">
        <v>169</v>
      </c>
      <c r="F27" s="229"/>
      <c r="G27" s="225" t="s">
        <v>170</v>
      </c>
      <c r="H27" s="225"/>
      <c r="I27" s="225"/>
    </row>
    <row r="28" spans="2:9" ht="41.25" customHeight="1" x14ac:dyDescent="0.25">
      <c r="C28" s="221" t="s">
        <v>171</v>
      </c>
      <c r="D28" s="222"/>
      <c r="E28" s="223" t="s">
        <v>172</v>
      </c>
      <c r="F28" s="224"/>
      <c r="G28" s="225" t="s">
        <v>173</v>
      </c>
      <c r="H28" s="225"/>
      <c r="I28" s="225"/>
    </row>
    <row r="29" spans="2:9" ht="15.75" thickBot="1" x14ac:dyDescent="0.3"/>
    <row r="30" spans="2:9" x14ac:dyDescent="0.25">
      <c r="C30" s="213" t="s">
        <v>418</v>
      </c>
      <c r="D30" s="214"/>
      <c r="E30" s="214"/>
      <c r="F30" s="214"/>
      <c r="G30" s="214"/>
      <c r="H30" s="214"/>
      <c r="I30" s="215"/>
    </row>
    <row r="31" spans="2:9" ht="15.75" thickBot="1" x14ac:dyDescent="0.3">
      <c r="C31" s="216"/>
      <c r="D31" s="217"/>
      <c r="E31" s="217"/>
      <c r="F31" s="217"/>
      <c r="G31" s="217"/>
      <c r="H31" s="217"/>
      <c r="I31" s="218"/>
    </row>
    <row r="32" spans="2:9" ht="30" customHeight="1" x14ac:dyDescent="0.25">
      <c r="C32" s="181" t="s">
        <v>400</v>
      </c>
      <c r="D32" s="132" t="s">
        <v>401</v>
      </c>
      <c r="E32" s="219" t="s">
        <v>402</v>
      </c>
      <c r="F32" s="219"/>
      <c r="G32" s="219"/>
      <c r="H32" s="219"/>
      <c r="I32" s="220"/>
    </row>
    <row r="33" spans="3:9" ht="30" customHeight="1" x14ac:dyDescent="0.25">
      <c r="C33" s="182" t="s">
        <v>403</v>
      </c>
      <c r="D33" s="124" t="s">
        <v>404</v>
      </c>
      <c r="E33" s="209" t="s">
        <v>405</v>
      </c>
      <c r="F33" s="209"/>
      <c r="G33" s="209"/>
      <c r="H33" s="209"/>
      <c r="I33" s="210"/>
    </row>
    <row r="34" spans="3:9" ht="30" customHeight="1" x14ac:dyDescent="0.25">
      <c r="C34" s="182" t="s">
        <v>406</v>
      </c>
      <c r="D34" s="124" t="s">
        <v>407</v>
      </c>
      <c r="E34" s="209" t="s">
        <v>408</v>
      </c>
      <c r="F34" s="209"/>
      <c r="G34" s="209"/>
      <c r="H34" s="209"/>
      <c r="I34" s="210"/>
    </row>
    <row r="35" spans="3:9" ht="30" customHeight="1" x14ac:dyDescent="0.25">
      <c r="C35" s="182" t="s">
        <v>409</v>
      </c>
      <c r="D35" s="183" t="s">
        <v>410</v>
      </c>
      <c r="E35" s="209" t="s">
        <v>411</v>
      </c>
      <c r="F35" s="209"/>
      <c r="G35" s="209"/>
      <c r="H35" s="209"/>
      <c r="I35" s="210"/>
    </row>
    <row r="36" spans="3:9" ht="30" customHeight="1" x14ac:dyDescent="0.25">
      <c r="C36" s="182" t="s">
        <v>412</v>
      </c>
      <c r="D36" s="124" t="s">
        <v>413</v>
      </c>
      <c r="E36" s="209" t="s">
        <v>414</v>
      </c>
      <c r="F36" s="209"/>
      <c r="G36" s="209"/>
      <c r="H36" s="209"/>
      <c r="I36" s="210"/>
    </row>
    <row r="37" spans="3:9" ht="30" customHeight="1" thickBot="1" x14ac:dyDescent="0.3">
      <c r="C37" s="184" t="s">
        <v>415</v>
      </c>
      <c r="D37" s="106" t="s">
        <v>416</v>
      </c>
      <c r="E37" s="211" t="s">
        <v>417</v>
      </c>
      <c r="F37" s="211"/>
      <c r="G37" s="211"/>
      <c r="H37" s="211"/>
      <c r="I37" s="212"/>
    </row>
  </sheetData>
  <mergeCells count="34">
    <mergeCell ref="B3:B5"/>
    <mergeCell ref="C3:C4"/>
    <mergeCell ref="B7:B13"/>
    <mergeCell ref="C7:C8"/>
    <mergeCell ref="C10:C11"/>
    <mergeCell ref="H10:H11"/>
    <mergeCell ref="C12:C13"/>
    <mergeCell ref="D12:D13"/>
    <mergeCell ref="H12:H13"/>
    <mergeCell ref="B15:B20"/>
    <mergeCell ref="C15:C16"/>
    <mergeCell ref="G10:G11"/>
    <mergeCell ref="C24:D24"/>
    <mergeCell ref="E24:F24"/>
    <mergeCell ref="G24:I24"/>
    <mergeCell ref="C25:D25"/>
    <mergeCell ref="E25:F25"/>
    <mergeCell ref="G25:I25"/>
    <mergeCell ref="C28:D28"/>
    <mergeCell ref="E28:F28"/>
    <mergeCell ref="G28:I28"/>
    <mergeCell ref="C26:D26"/>
    <mergeCell ref="E26:F26"/>
    <mergeCell ref="G26:I26"/>
    <mergeCell ref="C27:D27"/>
    <mergeCell ref="E27:F27"/>
    <mergeCell ref="G27:I27"/>
    <mergeCell ref="E36:I36"/>
    <mergeCell ref="E37:I37"/>
    <mergeCell ref="C30:I31"/>
    <mergeCell ref="E32:I32"/>
    <mergeCell ref="E33:I33"/>
    <mergeCell ref="E34:I34"/>
    <mergeCell ref="E35:I3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DB3A06C7BD1F4887325541646FDB72" ma:contentTypeVersion="20" ma:contentTypeDescription="Create a new document." ma:contentTypeScope="" ma:versionID="3dc4454b1faaa8190023404ad2ffa5dd">
  <xsd:schema xmlns:xsd="http://www.w3.org/2001/XMLSchema" xmlns:xs="http://www.w3.org/2001/XMLSchema" xmlns:p="http://schemas.microsoft.com/office/2006/metadata/properties" xmlns:ns2="0ff95a57-b73b-4e36-9404-b15ab2c3f9e0" xmlns:ns3="5dc5dd65-22d5-4a0f-a66b-e751042f1526" xmlns:ns4="ede2196a-f95a-4ce9-a5d1-0ad1e2957685" targetNamespace="http://schemas.microsoft.com/office/2006/metadata/properties" ma:root="true" ma:fieldsID="5685baaf675281355a432bcb1d3a851f" ns2:_="" ns3:_="" ns4:_="">
    <xsd:import namespace="0ff95a57-b73b-4e36-9404-b15ab2c3f9e0"/>
    <xsd:import namespace="5dc5dd65-22d5-4a0f-a66b-e751042f1526"/>
    <xsd:import namespace="ede2196a-f95a-4ce9-a5d1-0ad1e29576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Statu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95a57-b73b-4e36-9404-b15ab2c3f9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5a26052-1bf0-409f-8a84-82be1c828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atus" ma:index="26" nillable="true" ma:displayName="Status" ma:default="Not Started" ma:format="Dropdown" ma:internalName="Status">
      <xsd:simpleType>
        <xsd:restriction base="dms:Choice">
          <xsd:enumeration value="Completed"/>
          <xsd:enumeration value="Not Started"/>
        </xsd:restriction>
      </xsd:simpleType>
    </xsd:element>
    <xsd:element name="dateandTime" ma:index="27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5dd65-22d5-4a0f-a66b-e751042f15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2196a-f95a-4ce9-a5d1-0ad1e295768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7ae2f35-2725-4511-ac96-b3531399e5f5}" ma:internalName="TaxCatchAll" ma:showField="CatchAllData" ma:web="5dc5dd65-22d5-4a0f-a66b-e751042f15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f95a57-b73b-4e36-9404-b15ab2c3f9e0">
      <Terms xmlns="http://schemas.microsoft.com/office/infopath/2007/PartnerControls"/>
    </lcf76f155ced4ddcb4097134ff3c332f>
    <TaxCatchAll xmlns="ede2196a-f95a-4ce9-a5d1-0ad1e2957685" xsi:nil="true"/>
    <Status xmlns="0ff95a57-b73b-4e36-9404-b15ab2c3f9e0">Completed</Status>
    <dateandTime xmlns="0ff95a57-b73b-4e36-9404-b15ab2c3f9e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545D32-B079-466F-A429-1694AC07F3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f95a57-b73b-4e36-9404-b15ab2c3f9e0"/>
    <ds:schemaRef ds:uri="5dc5dd65-22d5-4a0f-a66b-e751042f1526"/>
    <ds:schemaRef ds:uri="ede2196a-f95a-4ce9-a5d1-0ad1e2957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7622BA-E950-4795-910A-CD0ACC45D899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0ff95a57-b73b-4e36-9404-b15ab2c3f9e0"/>
    <ds:schemaRef ds:uri="http://schemas.microsoft.com/office/infopath/2007/PartnerControls"/>
    <ds:schemaRef ds:uri="ede2196a-f95a-4ce9-a5d1-0ad1e2957685"/>
    <ds:schemaRef ds:uri="5dc5dd65-22d5-4a0f-a66b-e751042f152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7884925-FCF3-4C33-866D-D653AB7813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4BLO (2)</vt:lpstr>
      <vt:lpstr>4BLO</vt:lpstr>
      <vt:lpstr>Lists</vt:lpstr>
      <vt:lpstr>Risk score and CML</vt:lpstr>
      <vt:lpstr>Machinery_hazards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Queyron</dc:creator>
  <cp:lastModifiedBy>Dilu Pillai</cp:lastModifiedBy>
  <dcterms:created xsi:type="dcterms:W3CDTF">2015-06-05T18:17:20Z</dcterms:created>
  <dcterms:modified xsi:type="dcterms:W3CDTF">2026-01-20T14:09:46Z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0x01010073DB3A06C7BD1F4887325541646FDB72</vt:lpwstr>
  </property>
  <property fmtid="{D5CDD505-2E9C-101B-9397-08002B2CF9AE}" pid="3" name="MediaServiceImageTags">
    <vt:lpwstr/>
  </property>
</Properties>
</file>